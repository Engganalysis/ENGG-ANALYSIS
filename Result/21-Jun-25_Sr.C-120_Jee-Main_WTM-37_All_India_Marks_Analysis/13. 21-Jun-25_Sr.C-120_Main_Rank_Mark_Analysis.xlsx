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C9EFD6A3-CBFE-4235-97F8-D21F895CB3D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Mark_Ranges" sheetId="1" r:id="rId1"/>
    <sheet name="Sub_Avgs" sheetId="2" r:id="rId2"/>
    <sheet name="Rank_Rang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3" i="3" l="1"/>
  <c r="K83" i="3"/>
  <c r="J83" i="3"/>
  <c r="I83" i="3"/>
  <c r="H83" i="3"/>
  <c r="G83" i="3"/>
  <c r="F83" i="3"/>
  <c r="E83" i="3"/>
  <c r="D83" i="3"/>
  <c r="C83" i="3"/>
  <c r="B83" i="3"/>
  <c r="F83" i="2"/>
</calcChain>
</file>

<file path=xl/sharedStrings.xml><?xml version="1.0" encoding="utf-8"?>
<sst xmlns="http://schemas.openxmlformats.org/spreadsheetml/2006/main" count="450" uniqueCount="234">
  <si>
    <t>ADM_NO</t>
  </si>
  <si>
    <t>NAME</t>
  </si>
  <si>
    <t>SEC</t>
  </si>
  <si>
    <t>CAMPUS</t>
  </si>
  <si>
    <t>EAS</t>
  </si>
  <si>
    <t>MAT</t>
  </si>
  <si>
    <t>PHY</t>
  </si>
  <si>
    <t>CHE</t>
  </si>
  <si>
    <t>TOT</t>
  </si>
  <si>
    <t>AVG_MATHS</t>
  </si>
  <si>
    <t>AVG_PHYSICS</t>
  </si>
  <si>
    <t>AVG_CHEMISTRY</t>
  </si>
  <si>
    <t>AVG_TOTAL</t>
  </si>
  <si>
    <t>CNT_TOTAL</t>
  </si>
  <si>
    <t>TOP10</t>
  </si>
  <si>
    <t>B11_20</t>
  </si>
  <si>
    <t>B21_50</t>
  </si>
  <si>
    <t>B51_100</t>
  </si>
  <si>
    <t>B101_200</t>
  </si>
  <si>
    <t>B201_500</t>
  </si>
  <si>
    <t>TOTAL</t>
  </si>
  <si>
    <t>B501_1000</t>
  </si>
  <si>
    <t>B1001_2000</t>
  </si>
  <si>
    <t>&gt;=275</t>
  </si>
  <si>
    <t>&gt;=270</t>
  </si>
  <si>
    <t>&gt;=265</t>
  </si>
  <si>
    <t>&gt;=250</t>
  </si>
  <si>
    <t>&gt;=220</t>
  </si>
  <si>
    <t>&gt;=200</t>
  </si>
  <si>
    <t>&gt;=175</t>
  </si>
  <si>
    <t>&gt;=150</t>
  </si>
  <si>
    <t>&gt;=135</t>
  </si>
  <si>
    <t>&gt;=125</t>
  </si>
  <si>
    <t>&gt;=120</t>
  </si>
  <si>
    <t>&gt;=110</t>
  </si>
  <si>
    <t>&gt;=100</t>
  </si>
  <si>
    <t>&gt;=90</t>
  </si>
  <si>
    <t>&gt;=80</t>
  </si>
  <si>
    <t>&gt;=70</t>
  </si>
  <si>
    <t>&gt;=60</t>
  </si>
  <si>
    <t>&gt;=50</t>
  </si>
  <si>
    <t>B2001_5000</t>
  </si>
  <si>
    <t>B5001_10000</t>
  </si>
  <si>
    <t>21-Jun-25_Sr.C-120_Main_Marks Ranges_Vs_Campus Toppers Individual Marks</t>
  </si>
  <si>
    <t>21-Jun-25_Sr.C-120_Main_Subject Wise_Averages</t>
  </si>
  <si>
    <t>21-Jun-25_Sr.C-120_Main_Rank Ranges</t>
  </si>
  <si>
    <t>MANKESHWAR ATHARVA</t>
  </si>
  <si>
    <t>NA</t>
  </si>
  <si>
    <t>AUR/AURANGABAD</t>
  </si>
  <si>
    <t>SAI VENKATA SESIDHAR NALLA</t>
  </si>
  <si>
    <t>BAL/PU COLLEGE BALLARI BOYS</t>
  </si>
  <si>
    <t>KUNTAMUKALA PRASASYA</t>
  </si>
  <si>
    <t>BAL/PU COLLEGE BALLARI GIRLS</t>
  </si>
  <si>
    <t>ATHARV PATIL</t>
  </si>
  <si>
    <t>BEL/PU COLLEGE BELAGAVI</t>
  </si>
  <si>
    <t>SRAVAN MACHIRAJU</t>
  </si>
  <si>
    <t>BEN/PU COLLEGE BANASWADI</t>
  </si>
  <si>
    <t>VINUTHA KANKANWADI</t>
  </si>
  <si>
    <t>BEN/PU COLLEGE ELECTRONIC CITY</t>
  </si>
  <si>
    <t>MALLIKA N</t>
  </si>
  <si>
    <t>BEN/PU COLLEGE ELECTRONIC CITY DS</t>
  </si>
  <si>
    <t>NIMRA NASEER</t>
  </si>
  <si>
    <t>BEN/PU COLLEGE HEGDENAGAR</t>
  </si>
  <si>
    <t>ETHAN VAZHAPPILLY</t>
  </si>
  <si>
    <t>BEN/PU COLLEGE HORAMAVU</t>
  </si>
  <si>
    <t>AISWARYA R KUMAR</t>
  </si>
  <si>
    <t>BEN/PU COLLEGE J P NAGAR</t>
  </si>
  <si>
    <t>SANJAY RAJ S</t>
  </si>
  <si>
    <t>BEN/PU COLLEGE KAGGADASPURA</t>
  </si>
  <si>
    <t>JATHIN GOWDA T L</t>
  </si>
  <si>
    <t>BEN/PU COLLEGE KANAKAPURA ROAD</t>
  </si>
  <si>
    <t>SAI PRANATHI PENDELA</t>
  </si>
  <si>
    <t>BEN/PU COLLEGE KORAMANGALA</t>
  </si>
  <si>
    <t>RANJITH K</t>
  </si>
  <si>
    <t>BEN/PU COLLEGE KR PURAM</t>
  </si>
  <si>
    <t>RAMKARTHIK RAJKUMAR</t>
  </si>
  <si>
    <t>BEN/PU COLLEGE KUDLU</t>
  </si>
  <si>
    <t>YUVARAJ A</t>
  </si>
  <si>
    <t>BEN/PU COLLEGE MARTHAHALLI C-120</t>
  </si>
  <si>
    <t>Preksha Diwakar</t>
  </si>
  <si>
    <t>BEN/PU COLLEGE NAGARBHAVI</t>
  </si>
  <si>
    <t>YARISH S</t>
  </si>
  <si>
    <t>BEN/PU COLLEGE RAJAJI NAGAR</t>
  </si>
  <si>
    <t>SOHANKUMAR HANAMANT CHANNAL</t>
  </si>
  <si>
    <t>BEN/PU COLLEGE SARJAPURA</t>
  </si>
  <si>
    <t>HARSHAVARDHANA T</t>
  </si>
  <si>
    <t>BEN/PU COLLEGE SESHADRIPURAM</t>
  </si>
  <si>
    <t>SAI PRANAV REDDY J</t>
  </si>
  <si>
    <t>BEN/PU COLLEGE UTTARAHALLI</t>
  </si>
  <si>
    <t>SHAMANTH P</t>
  </si>
  <si>
    <t>BEN/PU COLLEGE VIDYARANYAPURA</t>
  </si>
  <si>
    <t>Rishitha M .</t>
  </si>
  <si>
    <t>DAV/PU COLLEGE DAVANAGERE</t>
  </si>
  <si>
    <t>DEEVAYANI VENKATA NAGA SAI DURGA BHAVANI</t>
  </si>
  <si>
    <t>SC-A</t>
  </si>
  <si>
    <t>GUN/ICON CAMPUS</t>
  </si>
  <si>
    <t>SARAS AKHILESH MAGARDE</t>
  </si>
  <si>
    <t>HUB/PU COLLEGE HUBLI</t>
  </si>
  <si>
    <t>SANGA SIDHARTHA</t>
  </si>
  <si>
    <t>HYD/A K BHAVAN AMEENPUR</t>
  </si>
  <si>
    <t>MAMILLA KEERTHANA</t>
  </si>
  <si>
    <t>HYD/AKSHARA BHAVAN MANIKONDA</t>
  </si>
  <si>
    <t>B SHASHIDHAR</t>
  </si>
  <si>
    <t>HYD/BHASKAR BHAVAN HYD</t>
  </si>
  <si>
    <t>JONNALA SRIRAM REDDY</t>
  </si>
  <si>
    <t>C-120-4</t>
  </si>
  <si>
    <t>HYD/BOWRAMPET IPL</t>
  </si>
  <si>
    <t>PATHI KAUSHIK</t>
  </si>
  <si>
    <t>SR-C-120-A</t>
  </si>
  <si>
    <t>HYD/DR BS RAO SOUDHAM AMEERPET</t>
  </si>
  <si>
    <t>VENKATAPURAM JYOTHSNA</t>
  </si>
  <si>
    <t>S-EE-9</t>
  </si>
  <si>
    <t>HYD/ECIL</t>
  </si>
  <si>
    <t>VANGA GOWTHAM SIDDHARTHA</t>
  </si>
  <si>
    <t>HYD/HABSIGUDA</t>
  </si>
  <si>
    <t>JITTABOINA HARIKA</t>
  </si>
  <si>
    <t>C120_BATCH1</t>
  </si>
  <si>
    <t>HYD/HAYATH NAGAR CAMPUS</t>
  </si>
  <si>
    <t>VENKATAPUR ARYAN</t>
  </si>
  <si>
    <t>C120-2</t>
  </si>
  <si>
    <t>HYD/HYDERNAGAR BOYS RES</t>
  </si>
  <si>
    <t>N RAMCHARAN</t>
  </si>
  <si>
    <t>GALILEO</t>
  </si>
  <si>
    <t>HYD/JELLA ARCADE RK PURAM</t>
  </si>
  <si>
    <t>NALABOLU MRUDHULA</t>
  </si>
  <si>
    <t>HYD/JHANSI SOUDHAM BONGULURU</t>
  </si>
  <si>
    <t>GOSKULA MANASWINI</t>
  </si>
  <si>
    <t>HYD/KONDAPUR IPL GIRLS</t>
  </si>
  <si>
    <t>V BHANU GOPI CHANDU REDDY</t>
  </si>
  <si>
    <t>HYD/MADINAGUDA DAYS</t>
  </si>
  <si>
    <t>POTTURI N V K SAIRAM AASLESH</t>
  </si>
  <si>
    <t>ELITE</t>
  </si>
  <si>
    <t>HYD/MAHESWARI BHAVAN NALLAGANDLA HYD</t>
  </si>
  <si>
    <t>G LAKSHMI PRASANNA</t>
  </si>
  <si>
    <t>SR C_120</t>
  </si>
  <si>
    <t>HYD/MANISHA COMPLEX DSNR</t>
  </si>
  <si>
    <t>PATHURI PRANAVI</t>
  </si>
  <si>
    <t>HYD/MIYAPUR GIRLS RES</t>
  </si>
  <si>
    <t>KASUKURTI JAISHNAVADEEPU</t>
  </si>
  <si>
    <t>HYD/NALLAKUNTA IPL</t>
  </si>
  <si>
    <t>AKASH SHIVA KUMAR</t>
  </si>
  <si>
    <t>SR C-120</t>
  </si>
  <si>
    <t>HYD/RAMAN BHAVAN ATTAPUR</t>
  </si>
  <si>
    <t>KUNTA MANOJ KUMAR</t>
  </si>
  <si>
    <t>HYD/RAMAN BHAVAN II NARSINGI</t>
  </si>
  <si>
    <t>MURARISHETTI HARSHITH</t>
  </si>
  <si>
    <t>HYD/RAMANUJAM BHAVAN BONGULURU</t>
  </si>
  <si>
    <t>SANNA REDDY BHAVYA SREE</t>
  </si>
  <si>
    <t>SR-C120</t>
  </si>
  <si>
    <t>HYD/TARNAKA</t>
  </si>
  <si>
    <t>THODATI ABHINAV</t>
  </si>
  <si>
    <t>HYD/VALMIKI CAMPUS UPPAL</t>
  </si>
  <si>
    <t>SHRIRAM JAJU</t>
  </si>
  <si>
    <t>HYD/VYAS BHAVAN 2 NARAYANAGUDA</t>
  </si>
  <si>
    <t>GADDAM THARUNYA</t>
  </si>
  <si>
    <t>SR C-120 AC</t>
  </si>
  <si>
    <t>HYD/WEST MAREDPALLY</t>
  </si>
  <si>
    <t>BASIREDDY RAVIKANTH REDDY</t>
  </si>
  <si>
    <t>KUR/BHAGEERATHA BHAVAN</t>
  </si>
  <si>
    <t>CHITTIVELI SAHITHI LAKSHMI</t>
  </si>
  <si>
    <t>KUR/KURNOOL CAMPUS</t>
  </si>
  <si>
    <t>RAVULACHERUVU MOKSHITH REDDY</t>
  </si>
  <si>
    <t>SR C-120-1</t>
  </si>
  <si>
    <t>KUR/SRI NEELAKANTA BHAVAN KURNOOL</t>
  </si>
  <si>
    <t>ONTEDDU VISHISHTA</t>
  </si>
  <si>
    <t>N</t>
  </si>
  <si>
    <t>KUR/VIGNESHWARA BHAVAN KURNOOL</t>
  </si>
  <si>
    <t>MUNIPALLE DEVISRI GAYATRI</t>
  </si>
  <si>
    <t>MAN/PU COLLEGE MANGALORE</t>
  </si>
  <si>
    <t>NEEV KAVISH SHARMA</t>
  </si>
  <si>
    <t>MUM/AJANTA CAMPUS BORIVALI</t>
  </si>
  <si>
    <t>Anand A</t>
  </si>
  <si>
    <t>MYS/PU COLLEGE MYSORE</t>
  </si>
  <si>
    <t>PATAN NASHWEEN SADIYA</t>
  </si>
  <si>
    <t>SR.C-120 - GIRL</t>
  </si>
  <si>
    <t>NAR/NARASARAOPET RAMANUJAN BHAVAN</t>
  </si>
  <si>
    <t>DEGA LAKSHMI NAGAVARDAN</t>
  </si>
  <si>
    <t>NEL/VIGNESH BHAVAN NELLORE</t>
  </si>
  <si>
    <t>KORRAPATI TEJA NARASIMHA CHOWDARY</t>
  </si>
  <si>
    <t>ONG/SARASWATHI BHAVAN</t>
  </si>
  <si>
    <t>SUMEDH SHINDEKAR</t>
  </si>
  <si>
    <t>ASM2</t>
  </si>
  <si>
    <t>PUN/AUNDH JAIHINDH BLDG</t>
  </si>
  <si>
    <t>ROHAN V PILLAI</t>
  </si>
  <si>
    <t>BSM</t>
  </si>
  <si>
    <t>PUN/BAVDHAN CAMPUS PUNE</t>
  </si>
  <si>
    <t>NAVYA SRILAKSHMI TANMAYEEBOJJA</t>
  </si>
  <si>
    <t>NSM</t>
  </si>
  <si>
    <t>PUN/SARASWATHI SOWDHAM PUNE</t>
  </si>
  <si>
    <t>ANUJ MOHOD</t>
  </si>
  <si>
    <t>SSM1</t>
  </si>
  <si>
    <t>PUN/SHIVAJI BHAVAN PUNE</t>
  </si>
  <si>
    <t>UPPULURI SRI VASISHTA AGASTYANANDA</t>
  </si>
  <si>
    <t>WSM1</t>
  </si>
  <si>
    <t>PUN/WAGHOLI CAMPUS PUNE</t>
  </si>
  <si>
    <t>K BHANUPRAKASH</t>
  </si>
  <si>
    <t>TIR/SRI GANAPATHY TOWERS</t>
  </si>
  <si>
    <t>MEENIGE VENKATA SIVA GANESH</t>
  </si>
  <si>
    <t>TIR/VENKATADRI BHAVAN TPTY</t>
  </si>
  <si>
    <t>ARJUN PATEL .</t>
  </si>
  <si>
    <t>TUM/PU COLLEGE TUMKUR</t>
  </si>
  <si>
    <t>AKURATHI DURGA PAVAN</t>
  </si>
  <si>
    <t>VIJ/RAMAN BHAVAN II</t>
  </si>
  <si>
    <t>MUMMADI PHANINDRA REDDY</t>
  </si>
  <si>
    <t>SR. C-2</t>
  </si>
  <si>
    <t>VIJ/RAMAN BHAVAN-1(SANTHA)</t>
  </si>
  <si>
    <t>LAVURI DEVIKA KEERTHI</t>
  </si>
  <si>
    <t>SR.C-120_1</t>
  </si>
  <si>
    <t>VIJ/RAMAN BHAVAN5</t>
  </si>
  <si>
    <t>KAMA YOGI SRI CHARAN REDDY</t>
  </si>
  <si>
    <t>SR C-120 -1</t>
  </si>
  <si>
    <t>VIJ/SRI CHAKRA BHAVAN</t>
  </si>
  <si>
    <t>DUNNA JANGAMAYYAGARI KARTHIK</t>
  </si>
  <si>
    <t>SC120-1</t>
  </si>
  <si>
    <t>VIS/ABDUL KALAM BHAVAN(VSP)</t>
  </si>
  <si>
    <t>VURUKUTI VENKATA VINAY NIHAL YADAV</t>
  </si>
  <si>
    <t>RB2-SC120</t>
  </si>
  <si>
    <t>VIS/ASILMETTA IIT ACADEMY</t>
  </si>
  <si>
    <t>YUKTA KUMARI</t>
  </si>
  <si>
    <t>VIS/MAA TARINI TOWERS VSP</t>
  </si>
  <si>
    <t>DOKULA VARSHINI</t>
  </si>
  <si>
    <t>SSUPER60-D</t>
  </si>
  <si>
    <t>VIS/RAMAN BHAVAN NAD</t>
  </si>
  <si>
    <t>BUDI LASHYA SRI</t>
  </si>
  <si>
    <t>VIS/RAMAN BHAVAN VZM</t>
  </si>
  <si>
    <t>PATNANA DHANYASREE</t>
  </si>
  <si>
    <t>VIS/SIVAM CAMPUS</t>
  </si>
  <si>
    <t>PRATIK BARLA</t>
  </si>
  <si>
    <t>VIS/SRI KRISHNA BHAVAN VSP</t>
  </si>
  <si>
    <t>TEKI PRUDHVI</t>
  </si>
  <si>
    <t>VIS/SRI SAI BHAVAN VSP</t>
  </si>
  <si>
    <t>KANCHARAPU REVANTH KUMAR</t>
  </si>
  <si>
    <t>BT-SELITE-A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</si>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</sst>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4"/>
      <color theme="1"/>
      <name val="Arial"/>
      <family val="2"/>
    </font>
    <font>
      <b/>
      <sz val="11"/>
      <color rgb="FF990099"/>
      <name val="Franklin Gothic Book"/>
      <family val="2"/>
    </font>
    <font>
      <sz val="13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b/>
      <sz val="18"/>
      <color theme="0"/>
      <name val="Franklin Gothic Book"/>
      <family val="2"/>
    </font>
    <font>
      <b/>
      <sz val="16"/>
      <color theme="0"/>
      <name val="Franklin Gothic Book"/>
      <family val="2"/>
    </font>
    <font>
      <b/>
      <sz val="12"/>
      <color rgb="FF0033CC"/>
      <name val="Arial"/>
      <family val="2"/>
    </font>
    <font>
      <b/>
      <sz val="11"/>
      <color rgb="FF993366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2"/>
      <color theme="1"/>
      <name val="Arial"/>
      <family val="2"/>
    </font>
    <font>
      <b/>
      <sz val="12"/>
      <color rgb="FF0070C0"/>
      <name val="Arial"/>
      <family val="2"/>
    </font>
    <font>
      <b/>
      <sz val="12"/>
      <color rgb="FF195A69"/>
      <name val="Arial"/>
      <family val="2"/>
    </font>
    <font>
      <b/>
      <sz val="13"/>
      <color rgb="FF0066CC"/>
      <name val="Calibri"/>
      <family val="2"/>
      <scheme val="minor"/>
    </font>
    <font>
      <b/>
      <sz val="1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6FAE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CF7FE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FFFFE5"/>
        <bgColor indexed="64"/>
      </patternFill>
    </fill>
  </fills>
  <borders count="3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/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medium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medium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medium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medium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medium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10" fillId="2" borderId="16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3" fillId="0" borderId="17" xfId="0" applyFont="1" applyBorder="1" applyAlignment="1">
      <alignment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7" fillId="4" borderId="25" xfId="0" applyFont="1" applyFill="1" applyBorder="1" applyAlignment="1">
      <alignment horizontal="center" vertical="center"/>
    </xf>
    <xf numFmtId="0" fontId="18" fillId="4" borderId="23" xfId="0" applyFont="1" applyFill="1" applyBorder="1" applyAlignment="1">
      <alignment vertical="center"/>
    </xf>
    <xf numFmtId="0" fontId="6" fillId="4" borderId="24" xfId="0" applyFont="1" applyFill="1" applyBorder="1" applyAlignment="1">
      <alignment horizontal="center" vertical="center"/>
    </xf>
    <xf numFmtId="0" fontId="18" fillId="4" borderId="32" xfId="0" applyFont="1" applyFill="1" applyBorder="1" applyAlignment="1">
      <alignment vertical="center"/>
    </xf>
    <xf numFmtId="0" fontId="6" fillId="4" borderId="33" xfId="0" applyFont="1" applyFill="1" applyBorder="1" applyAlignment="1">
      <alignment horizontal="center" vertical="center"/>
    </xf>
    <xf numFmtId="0" fontId="19" fillId="0" borderId="26" xfId="0" applyFont="1" applyBorder="1" applyAlignment="1">
      <alignment vertical="center"/>
    </xf>
    <xf numFmtId="0" fontId="19" fillId="0" borderId="29" xfId="0" applyFont="1" applyBorder="1" applyAlignment="1">
      <alignment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/>
    </xf>
    <xf numFmtId="0" fontId="20" fillId="6" borderId="6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textRotation="90"/>
    </xf>
    <xf numFmtId="0" fontId="15" fillId="6" borderId="9" xfId="0" applyFont="1" applyFill="1" applyBorder="1" applyAlignment="1">
      <alignment horizontal="center" textRotation="90"/>
    </xf>
    <xf numFmtId="0" fontId="11" fillId="7" borderId="6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left" vertical="center"/>
    </xf>
    <xf numFmtId="0" fontId="11" fillId="7" borderId="8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ill>
        <patternFill>
          <bgColor rgb="FFF9EEED"/>
        </patternFill>
      </fill>
    </dxf>
    <dxf>
      <fill>
        <patternFill>
          <bgColor rgb="FFEFECF4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Medium9"/>
  <colors>
    <mruColors>
      <color rgb="FFFFFFE5"/>
      <color rgb="FF795F2F"/>
      <color rgb="FF0066CC"/>
      <color rgb="FFF7F5F9"/>
      <color rgb="FFEFECF4"/>
      <color rgb="FFE9FDF8"/>
      <color rgb="FFF9EEED"/>
      <color rgb="FFFFFFCC"/>
      <color rgb="FFF6FAEC"/>
      <color rgb="FFECF7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AA82"/>
  <sheetViews>
    <sheetView showGridLines="0" tabSelected="1" zoomScale="95" zoomScaleNormal="95" workbookViewId="0"/>
  </sheetViews>
  <sheetFormatPr defaultColWidth="11.5703125" defaultRowHeight="17.25" x14ac:dyDescent="0.3"/>
  <cols>
    <col min="1" max="1" width="11" style="3" customWidth="1"/>
    <col min="2" max="2" width="25.28515625" style="3" customWidth="1"/>
    <col min="3" max="3" width="14.28515625" style="3" bestFit="1" customWidth="1"/>
    <col min="4" max="4" width="43.42578125" style="4" bestFit="1" customWidth="1"/>
    <col min="5" max="5" width="7.28515625" style="4" customWidth="1"/>
    <col min="6" max="6" width="7.5703125" style="3" customWidth="1"/>
    <col min="7" max="7" width="7.28515625" style="3" customWidth="1"/>
    <col min="8" max="8" width="7.42578125" style="3" customWidth="1"/>
    <col min="9" max="9" width="7" style="3" customWidth="1"/>
    <col min="10" max="22" width="9.85546875" style="3" customWidth="1"/>
    <col min="23" max="27" width="8.5703125" style="3" customWidth="1"/>
    <col min="28" max="16384" width="11.5703125" style="2"/>
  </cols>
  <sheetData>
    <row r="1" spans="1:27" s="1" customFormat="1" ht="27.95" customHeight="1" thickBot="1" x14ac:dyDescent="0.3">
      <c r="A1" s="9" t="s">
        <v>43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8"/>
    </row>
    <row r="2" spans="1:27" ht="18" thickBot="1" x14ac:dyDescent="0.35">
      <c r="A2" s="44" t="s">
        <v>0</v>
      </c>
      <c r="B2" s="45" t="s">
        <v>1</v>
      </c>
      <c r="C2" s="45" t="s">
        <v>2</v>
      </c>
      <c r="D2" s="46" t="s">
        <v>3</v>
      </c>
      <c r="E2" s="45" t="s">
        <v>4</v>
      </c>
      <c r="F2" s="45" t="s">
        <v>5</v>
      </c>
      <c r="G2" s="45" t="s">
        <v>6</v>
      </c>
      <c r="H2" s="45" t="s">
        <v>7</v>
      </c>
      <c r="I2" s="45" t="s">
        <v>8</v>
      </c>
      <c r="J2" s="45" t="s">
        <v>23</v>
      </c>
      <c r="K2" s="45" t="s">
        <v>24</v>
      </c>
      <c r="L2" s="45" t="s">
        <v>25</v>
      </c>
      <c r="M2" s="45" t="s">
        <v>26</v>
      </c>
      <c r="N2" s="45" t="s">
        <v>27</v>
      </c>
      <c r="O2" s="45" t="s">
        <v>28</v>
      </c>
      <c r="P2" s="45" t="s">
        <v>29</v>
      </c>
      <c r="Q2" s="45" t="s">
        <v>30</v>
      </c>
      <c r="R2" s="45" t="s">
        <v>31</v>
      </c>
      <c r="S2" s="45" t="s">
        <v>32</v>
      </c>
      <c r="T2" s="45" t="s">
        <v>33</v>
      </c>
      <c r="U2" s="45" t="s">
        <v>34</v>
      </c>
      <c r="V2" s="45" t="s">
        <v>35</v>
      </c>
      <c r="W2" s="45" t="s">
        <v>36</v>
      </c>
      <c r="X2" s="47" t="s">
        <v>37</v>
      </c>
      <c r="Y2" s="47" t="s">
        <v>38</v>
      </c>
      <c r="Z2" s="47" t="s">
        <v>39</v>
      </c>
      <c r="AA2" s="48" t="s">
        <v>40</v>
      </c>
    </row>
    <row r="3" spans="1:27" x14ac:dyDescent="0.3">
      <c r="A3" s="11">
        <v>246309505</v>
      </c>
      <c r="B3" s="13" t="s">
        <v>46</v>
      </c>
      <c r="C3" s="13" t="s">
        <v>47</v>
      </c>
      <c r="D3" s="13" t="s">
        <v>48</v>
      </c>
      <c r="E3" s="15">
        <v>60</v>
      </c>
      <c r="F3" s="15">
        <v>66</v>
      </c>
      <c r="G3" s="15">
        <v>43</v>
      </c>
      <c r="H3" s="15">
        <v>70</v>
      </c>
      <c r="I3" s="10">
        <v>179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1</v>
      </c>
      <c r="Q3" s="10">
        <v>2</v>
      </c>
      <c r="R3" s="15">
        <v>2</v>
      </c>
      <c r="S3" s="15">
        <v>2</v>
      </c>
      <c r="T3" s="15">
        <v>3</v>
      </c>
      <c r="U3" s="15">
        <v>4</v>
      </c>
      <c r="V3" s="15">
        <v>10</v>
      </c>
      <c r="W3" s="15">
        <v>14</v>
      </c>
      <c r="X3" s="15">
        <v>22</v>
      </c>
      <c r="Y3" s="15">
        <v>30</v>
      </c>
      <c r="Z3" s="15">
        <v>38</v>
      </c>
      <c r="AA3" s="16">
        <v>46</v>
      </c>
    </row>
    <row r="4" spans="1:27" x14ac:dyDescent="0.3">
      <c r="A4" s="12">
        <v>246400438</v>
      </c>
      <c r="B4" s="14" t="s">
        <v>49</v>
      </c>
      <c r="C4" s="14" t="s">
        <v>47</v>
      </c>
      <c r="D4" s="14" t="s">
        <v>50</v>
      </c>
      <c r="E4" s="17">
        <v>20</v>
      </c>
      <c r="F4" s="17">
        <v>55</v>
      </c>
      <c r="G4" s="17">
        <v>38</v>
      </c>
      <c r="H4" s="17">
        <v>30</v>
      </c>
      <c r="I4" s="10">
        <v>123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0">
        <v>0</v>
      </c>
      <c r="R4" s="17">
        <v>0</v>
      </c>
      <c r="S4" s="17">
        <v>0</v>
      </c>
      <c r="T4" s="17">
        <v>1</v>
      </c>
      <c r="U4" s="17">
        <v>3</v>
      </c>
      <c r="V4" s="17">
        <v>4</v>
      </c>
      <c r="W4" s="17">
        <v>5</v>
      </c>
      <c r="X4" s="17">
        <v>7</v>
      </c>
      <c r="Y4" s="17">
        <v>8</v>
      </c>
      <c r="Z4" s="17">
        <v>10</v>
      </c>
      <c r="AA4" s="18">
        <v>10</v>
      </c>
    </row>
    <row r="5" spans="1:27" x14ac:dyDescent="0.3">
      <c r="A5" s="12">
        <v>224308399</v>
      </c>
      <c r="B5" s="14" t="s">
        <v>51</v>
      </c>
      <c r="C5" s="14" t="s">
        <v>47</v>
      </c>
      <c r="D5" s="14" t="s">
        <v>52</v>
      </c>
      <c r="E5" s="17">
        <v>21</v>
      </c>
      <c r="F5" s="17">
        <v>53</v>
      </c>
      <c r="G5" s="17">
        <v>28</v>
      </c>
      <c r="H5" s="17">
        <v>63</v>
      </c>
      <c r="I5" s="10">
        <v>144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0">
        <v>0</v>
      </c>
      <c r="R5" s="17">
        <v>1</v>
      </c>
      <c r="S5" s="17">
        <v>2</v>
      </c>
      <c r="T5" s="17">
        <v>2</v>
      </c>
      <c r="U5" s="17">
        <v>2</v>
      </c>
      <c r="V5" s="17">
        <v>2</v>
      </c>
      <c r="W5" s="17">
        <v>2</v>
      </c>
      <c r="X5" s="17">
        <v>3</v>
      </c>
      <c r="Y5" s="17">
        <v>5</v>
      </c>
      <c r="Z5" s="17">
        <v>7</v>
      </c>
      <c r="AA5" s="18">
        <v>7</v>
      </c>
    </row>
    <row r="6" spans="1:27" x14ac:dyDescent="0.3">
      <c r="A6" s="12">
        <v>246402272</v>
      </c>
      <c r="B6" s="14" t="s">
        <v>53</v>
      </c>
      <c r="C6" s="14" t="s">
        <v>47</v>
      </c>
      <c r="D6" s="14" t="s">
        <v>54</v>
      </c>
      <c r="E6" s="17">
        <v>24</v>
      </c>
      <c r="F6" s="17">
        <v>65</v>
      </c>
      <c r="G6" s="17">
        <v>45</v>
      </c>
      <c r="H6" s="17">
        <v>47</v>
      </c>
      <c r="I6" s="10">
        <v>157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0">
        <v>1</v>
      </c>
      <c r="R6" s="17">
        <v>1</v>
      </c>
      <c r="S6" s="17">
        <v>4</v>
      </c>
      <c r="T6" s="17">
        <v>5</v>
      </c>
      <c r="U6" s="17">
        <v>6</v>
      </c>
      <c r="V6" s="17">
        <v>8</v>
      </c>
      <c r="W6" s="17">
        <v>13</v>
      </c>
      <c r="X6" s="17">
        <v>16</v>
      </c>
      <c r="Y6" s="17">
        <v>20</v>
      </c>
      <c r="Z6" s="17">
        <v>21</v>
      </c>
      <c r="AA6" s="18">
        <v>22</v>
      </c>
    </row>
    <row r="7" spans="1:27" x14ac:dyDescent="0.3">
      <c r="A7" s="12">
        <v>246400423</v>
      </c>
      <c r="B7" s="14" t="s">
        <v>55</v>
      </c>
      <c r="C7" s="14" t="s">
        <v>47</v>
      </c>
      <c r="D7" s="14" t="s">
        <v>56</v>
      </c>
      <c r="E7" s="17">
        <v>39</v>
      </c>
      <c r="F7" s="17">
        <v>31</v>
      </c>
      <c r="G7" s="17">
        <v>33</v>
      </c>
      <c r="H7" s="17">
        <v>72</v>
      </c>
      <c r="I7" s="10">
        <v>136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0">
        <v>0</v>
      </c>
      <c r="R7" s="17">
        <v>1</v>
      </c>
      <c r="S7" s="17">
        <v>2</v>
      </c>
      <c r="T7" s="17">
        <v>2</v>
      </c>
      <c r="U7" s="17">
        <v>3</v>
      </c>
      <c r="V7" s="17">
        <v>3</v>
      </c>
      <c r="W7" s="17">
        <v>5</v>
      </c>
      <c r="X7" s="17">
        <v>6</v>
      </c>
      <c r="Y7" s="17">
        <v>12</v>
      </c>
      <c r="Z7" s="17">
        <v>14</v>
      </c>
      <c r="AA7" s="18">
        <v>22</v>
      </c>
    </row>
    <row r="8" spans="1:27" x14ac:dyDescent="0.3">
      <c r="A8" s="12">
        <v>246403664</v>
      </c>
      <c r="B8" s="14" t="s">
        <v>57</v>
      </c>
      <c r="C8" s="14" t="s">
        <v>47</v>
      </c>
      <c r="D8" s="14" t="s">
        <v>58</v>
      </c>
      <c r="E8" s="17">
        <v>81</v>
      </c>
      <c r="F8" s="17">
        <v>27</v>
      </c>
      <c r="G8" s="17">
        <v>48</v>
      </c>
      <c r="H8" s="17">
        <v>53</v>
      </c>
      <c r="I8" s="10">
        <v>128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0">
        <v>0</v>
      </c>
      <c r="R8" s="17">
        <v>0</v>
      </c>
      <c r="S8" s="17">
        <v>1</v>
      </c>
      <c r="T8" s="17">
        <v>2</v>
      </c>
      <c r="U8" s="17">
        <v>4</v>
      </c>
      <c r="V8" s="17">
        <v>10</v>
      </c>
      <c r="W8" s="17">
        <v>13</v>
      </c>
      <c r="X8" s="17">
        <v>15</v>
      </c>
      <c r="Y8" s="17">
        <v>24</v>
      </c>
      <c r="Z8" s="17">
        <v>34</v>
      </c>
      <c r="AA8" s="18">
        <v>48</v>
      </c>
    </row>
    <row r="9" spans="1:27" x14ac:dyDescent="0.3">
      <c r="A9" s="12">
        <v>257407301</v>
      </c>
      <c r="B9" s="14" t="s">
        <v>59</v>
      </c>
      <c r="C9" s="14" t="s">
        <v>47</v>
      </c>
      <c r="D9" s="14" t="s">
        <v>60</v>
      </c>
      <c r="E9" s="17">
        <v>99</v>
      </c>
      <c r="F9" s="17">
        <v>47</v>
      </c>
      <c r="G9" s="17">
        <v>45</v>
      </c>
      <c r="H9" s="17">
        <v>71</v>
      </c>
      <c r="I9" s="10">
        <v>163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0">
        <v>2</v>
      </c>
      <c r="R9" s="17">
        <v>5</v>
      </c>
      <c r="S9" s="17">
        <v>5</v>
      </c>
      <c r="T9" s="17">
        <v>6</v>
      </c>
      <c r="U9" s="17">
        <v>9</v>
      </c>
      <c r="V9" s="17">
        <v>15</v>
      </c>
      <c r="W9" s="17">
        <v>23</v>
      </c>
      <c r="X9" s="17">
        <v>30</v>
      </c>
      <c r="Y9" s="17">
        <v>45</v>
      </c>
      <c r="Z9" s="17">
        <v>57</v>
      </c>
      <c r="AA9" s="18">
        <v>68</v>
      </c>
    </row>
    <row r="10" spans="1:27" x14ac:dyDescent="0.3">
      <c r="A10" s="12">
        <v>246546357</v>
      </c>
      <c r="B10" s="14" t="s">
        <v>61</v>
      </c>
      <c r="C10" s="14" t="s">
        <v>47</v>
      </c>
      <c r="D10" s="14" t="s">
        <v>62</v>
      </c>
      <c r="E10" s="17">
        <v>24</v>
      </c>
      <c r="F10" s="17">
        <v>60</v>
      </c>
      <c r="G10" s="17">
        <v>32</v>
      </c>
      <c r="H10" s="17">
        <v>57</v>
      </c>
      <c r="I10" s="10">
        <v>149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0">
        <v>0</v>
      </c>
      <c r="R10" s="17">
        <v>1</v>
      </c>
      <c r="S10" s="17">
        <v>4</v>
      </c>
      <c r="T10" s="17">
        <v>9</v>
      </c>
      <c r="U10" s="17">
        <v>14</v>
      </c>
      <c r="V10" s="17">
        <v>15</v>
      </c>
      <c r="W10" s="17">
        <v>20</v>
      </c>
      <c r="X10" s="17">
        <v>22</v>
      </c>
      <c r="Y10" s="17">
        <v>22</v>
      </c>
      <c r="Z10" s="17">
        <v>22</v>
      </c>
      <c r="AA10" s="18">
        <v>23</v>
      </c>
    </row>
    <row r="11" spans="1:27" x14ac:dyDescent="0.3">
      <c r="A11" s="12">
        <v>246401697</v>
      </c>
      <c r="B11" s="14" t="s">
        <v>63</v>
      </c>
      <c r="C11" s="14" t="s">
        <v>47</v>
      </c>
      <c r="D11" s="14" t="s">
        <v>64</v>
      </c>
      <c r="E11" s="17">
        <v>159</v>
      </c>
      <c r="F11" s="17">
        <v>55</v>
      </c>
      <c r="G11" s="17">
        <v>47</v>
      </c>
      <c r="H11" s="17">
        <v>82</v>
      </c>
      <c r="I11" s="10">
        <v>184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2</v>
      </c>
      <c r="Q11" s="10">
        <v>9</v>
      </c>
      <c r="R11" s="17">
        <v>18</v>
      </c>
      <c r="S11" s="17">
        <v>28</v>
      </c>
      <c r="T11" s="17">
        <v>35</v>
      </c>
      <c r="U11" s="17">
        <v>56</v>
      </c>
      <c r="V11" s="17">
        <v>64</v>
      </c>
      <c r="W11" s="17">
        <v>75</v>
      </c>
      <c r="X11" s="17">
        <v>86</v>
      </c>
      <c r="Y11" s="17">
        <v>106</v>
      </c>
      <c r="Z11" s="17">
        <v>124</v>
      </c>
      <c r="AA11" s="18">
        <v>132</v>
      </c>
    </row>
    <row r="12" spans="1:27" x14ac:dyDescent="0.3">
      <c r="A12" s="12">
        <v>246408141</v>
      </c>
      <c r="B12" s="14" t="s">
        <v>65</v>
      </c>
      <c r="C12" s="14" t="s">
        <v>47</v>
      </c>
      <c r="D12" s="14" t="s">
        <v>66</v>
      </c>
      <c r="E12" s="17">
        <v>83</v>
      </c>
      <c r="F12" s="17">
        <v>47</v>
      </c>
      <c r="G12" s="17">
        <v>51</v>
      </c>
      <c r="H12" s="17">
        <v>95</v>
      </c>
      <c r="I12" s="10">
        <v>193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1</v>
      </c>
      <c r="Q12" s="10">
        <v>1</v>
      </c>
      <c r="R12" s="17">
        <v>1</v>
      </c>
      <c r="S12" s="17">
        <v>3</v>
      </c>
      <c r="T12" s="17">
        <v>4</v>
      </c>
      <c r="U12" s="17">
        <v>7</v>
      </c>
      <c r="V12" s="17">
        <v>9</v>
      </c>
      <c r="W12" s="17">
        <v>14</v>
      </c>
      <c r="X12" s="17">
        <v>22</v>
      </c>
      <c r="Y12" s="17">
        <v>36</v>
      </c>
      <c r="Z12" s="17">
        <v>43</v>
      </c>
      <c r="AA12" s="18">
        <v>56</v>
      </c>
    </row>
    <row r="13" spans="1:27" x14ac:dyDescent="0.3">
      <c r="A13" s="12">
        <v>246548045</v>
      </c>
      <c r="B13" s="14" t="s">
        <v>67</v>
      </c>
      <c r="C13" s="14" t="s">
        <v>47</v>
      </c>
      <c r="D13" s="14" t="s">
        <v>68</v>
      </c>
      <c r="E13" s="17">
        <v>74</v>
      </c>
      <c r="F13" s="17">
        <v>79</v>
      </c>
      <c r="G13" s="17">
        <v>35</v>
      </c>
      <c r="H13" s="17">
        <v>48</v>
      </c>
      <c r="I13" s="10">
        <v>162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0">
        <v>2</v>
      </c>
      <c r="R13" s="17">
        <v>4</v>
      </c>
      <c r="S13" s="17">
        <v>7</v>
      </c>
      <c r="T13" s="17">
        <v>10</v>
      </c>
      <c r="U13" s="17">
        <v>13</v>
      </c>
      <c r="V13" s="17">
        <v>18</v>
      </c>
      <c r="W13" s="17">
        <v>29</v>
      </c>
      <c r="X13" s="17">
        <v>40</v>
      </c>
      <c r="Y13" s="17">
        <v>46</v>
      </c>
      <c r="Z13" s="17">
        <v>51</v>
      </c>
      <c r="AA13" s="18">
        <v>61</v>
      </c>
    </row>
    <row r="14" spans="1:27" x14ac:dyDescent="0.3">
      <c r="A14" s="12">
        <v>257408537</v>
      </c>
      <c r="B14" s="14" t="s">
        <v>69</v>
      </c>
      <c r="C14" s="14" t="s">
        <v>47</v>
      </c>
      <c r="D14" s="14" t="s">
        <v>70</v>
      </c>
      <c r="E14" s="17">
        <v>17</v>
      </c>
      <c r="F14" s="17">
        <v>12</v>
      </c>
      <c r="G14" s="17">
        <v>17</v>
      </c>
      <c r="H14" s="17">
        <v>53</v>
      </c>
      <c r="I14" s="10">
        <v>82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0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1</v>
      </c>
      <c r="Y14" s="17">
        <v>2</v>
      </c>
      <c r="Z14" s="17">
        <v>3</v>
      </c>
      <c r="AA14" s="18">
        <v>9</v>
      </c>
    </row>
    <row r="15" spans="1:27" x14ac:dyDescent="0.3">
      <c r="A15" s="12">
        <v>246401004</v>
      </c>
      <c r="B15" s="14" t="s">
        <v>71</v>
      </c>
      <c r="C15" s="14" t="s">
        <v>47</v>
      </c>
      <c r="D15" s="14" t="s">
        <v>72</v>
      </c>
      <c r="E15" s="17">
        <v>54</v>
      </c>
      <c r="F15" s="17">
        <v>35</v>
      </c>
      <c r="G15" s="17">
        <v>43</v>
      </c>
      <c r="H15" s="17">
        <v>78</v>
      </c>
      <c r="I15" s="10">
        <v>156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0">
        <v>1</v>
      </c>
      <c r="R15" s="17">
        <v>2</v>
      </c>
      <c r="S15" s="17">
        <v>4</v>
      </c>
      <c r="T15" s="17">
        <v>4</v>
      </c>
      <c r="U15" s="17">
        <v>6</v>
      </c>
      <c r="V15" s="17">
        <v>8</v>
      </c>
      <c r="W15" s="17">
        <v>16</v>
      </c>
      <c r="X15" s="17">
        <v>21</v>
      </c>
      <c r="Y15" s="17">
        <v>24</v>
      </c>
      <c r="Z15" s="17">
        <v>36</v>
      </c>
      <c r="AA15" s="18">
        <v>44</v>
      </c>
    </row>
    <row r="16" spans="1:27" x14ac:dyDescent="0.3">
      <c r="A16" s="12">
        <v>246407946</v>
      </c>
      <c r="B16" s="14" t="s">
        <v>73</v>
      </c>
      <c r="C16" s="14" t="s">
        <v>47</v>
      </c>
      <c r="D16" s="14" t="s">
        <v>74</v>
      </c>
      <c r="E16" s="17">
        <v>35</v>
      </c>
      <c r="F16" s="17">
        <v>62</v>
      </c>
      <c r="G16" s="17">
        <v>46</v>
      </c>
      <c r="H16" s="17">
        <v>86</v>
      </c>
      <c r="I16" s="10">
        <v>194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1</v>
      </c>
      <c r="Q16" s="10">
        <v>5</v>
      </c>
      <c r="R16" s="17">
        <v>8</v>
      </c>
      <c r="S16" s="17">
        <v>14</v>
      </c>
      <c r="T16" s="17">
        <v>14</v>
      </c>
      <c r="U16" s="17">
        <v>15</v>
      </c>
      <c r="V16" s="17">
        <v>19</v>
      </c>
      <c r="W16" s="17">
        <v>23</v>
      </c>
      <c r="X16" s="17">
        <v>24</v>
      </c>
      <c r="Y16" s="17">
        <v>29</v>
      </c>
      <c r="Z16" s="17">
        <v>31</v>
      </c>
      <c r="AA16" s="18">
        <v>34</v>
      </c>
    </row>
    <row r="17" spans="1:27" x14ac:dyDescent="0.3">
      <c r="A17" s="12">
        <v>246548808</v>
      </c>
      <c r="B17" s="14" t="s">
        <v>75</v>
      </c>
      <c r="C17" s="14" t="s">
        <v>47</v>
      </c>
      <c r="D17" s="14" t="s">
        <v>76</v>
      </c>
      <c r="E17" s="17">
        <v>78</v>
      </c>
      <c r="F17" s="17">
        <v>87</v>
      </c>
      <c r="G17" s="17">
        <v>83</v>
      </c>
      <c r="H17" s="17">
        <v>81</v>
      </c>
      <c r="I17" s="10">
        <v>251</v>
      </c>
      <c r="J17" s="17">
        <v>0</v>
      </c>
      <c r="K17" s="17">
        <v>0</v>
      </c>
      <c r="L17" s="17">
        <v>0</v>
      </c>
      <c r="M17" s="17">
        <v>1</v>
      </c>
      <c r="N17" s="17">
        <v>2</v>
      </c>
      <c r="O17" s="17">
        <v>2</v>
      </c>
      <c r="P17" s="17">
        <v>2</v>
      </c>
      <c r="Q17" s="10">
        <v>4</v>
      </c>
      <c r="R17" s="17">
        <v>5</v>
      </c>
      <c r="S17" s="17">
        <v>8</v>
      </c>
      <c r="T17" s="17">
        <v>10</v>
      </c>
      <c r="U17" s="17">
        <v>14</v>
      </c>
      <c r="V17" s="17">
        <v>23</v>
      </c>
      <c r="W17" s="17">
        <v>28</v>
      </c>
      <c r="X17" s="17">
        <v>36</v>
      </c>
      <c r="Y17" s="17">
        <v>44</v>
      </c>
      <c r="Z17" s="17">
        <v>49</v>
      </c>
      <c r="AA17" s="18">
        <v>54</v>
      </c>
    </row>
    <row r="18" spans="1:27" x14ac:dyDescent="0.3">
      <c r="A18" s="12">
        <v>246404938</v>
      </c>
      <c r="B18" s="14" t="s">
        <v>77</v>
      </c>
      <c r="C18" s="14" t="s">
        <v>47</v>
      </c>
      <c r="D18" s="14" t="s">
        <v>78</v>
      </c>
      <c r="E18" s="17">
        <v>189</v>
      </c>
      <c r="F18" s="17">
        <v>65</v>
      </c>
      <c r="G18" s="17">
        <v>68</v>
      </c>
      <c r="H18" s="17">
        <v>91</v>
      </c>
      <c r="I18" s="10">
        <v>224</v>
      </c>
      <c r="J18" s="17">
        <v>0</v>
      </c>
      <c r="K18" s="17">
        <v>0</v>
      </c>
      <c r="L18" s="17">
        <v>0</v>
      </c>
      <c r="M18" s="17">
        <v>0</v>
      </c>
      <c r="N18" s="17">
        <v>1</v>
      </c>
      <c r="O18" s="17">
        <v>4</v>
      </c>
      <c r="P18" s="17">
        <v>7</v>
      </c>
      <c r="Q18" s="10">
        <v>17</v>
      </c>
      <c r="R18" s="17">
        <v>25</v>
      </c>
      <c r="S18" s="17">
        <v>31</v>
      </c>
      <c r="T18" s="17">
        <v>38</v>
      </c>
      <c r="U18" s="17">
        <v>54</v>
      </c>
      <c r="V18" s="17">
        <v>69</v>
      </c>
      <c r="W18" s="17">
        <v>89</v>
      </c>
      <c r="X18" s="17">
        <v>107</v>
      </c>
      <c r="Y18" s="17">
        <v>126</v>
      </c>
      <c r="Z18" s="17">
        <v>143</v>
      </c>
      <c r="AA18" s="18">
        <v>156</v>
      </c>
    </row>
    <row r="19" spans="1:27" x14ac:dyDescent="0.3">
      <c r="A19" s="12">
        <v>246406438</v>
      </c>
      <c r="B19" s="14" t="s">
        <v>79</v>
      </c>
      <c r="C19" s="14" t="s">
        <v>47</v>
      </c>
      <c r="D19" s="14" t="s">
        <v>80</v>
      </c>
      <c r="E19" s="17">
        <v>121</v>
      </c>
      <c r="F19" s="17">
        <v>71</v>
      </c>
      <c r="G19" s="17">
        <v>33</v>
      </c>
      <c r="H19" s="17">
        <v>87</v>
      </c>
      <c r="I19" s="10">
        <v>191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1</v>
      </c>
      <c r="Q19" s="10">
        <v>1</v>
      </c>
      <c r="R19" s="17">
        <v>6</v>
      </c>
      <c r="S19" s="17">
        <v>13</v>
      </c>
      <c r="T19" s="17">
        <v>18</v>
      </c>
      <c r="U19" s="17">
        <v>25</v>
      </c>
      <c r="V19" s="17">
        <v>38</v>
      </c>
      <c r="W19" s="17">
        <v>44</v>
      </c>
      <c r="X19" s="17">
        <v>52</v>
      </c>
      <c r="Y19" s="17">
        <v>61</v>
      </c>
      <c r="Z19" s="17">
        <v>76</v>
      </c>
      <c r="AA19" s="18">
        <v>87</v>
      </c>
    </row>
    <row r="20" spans="1:27" x14ac:dyDescent="0.3">
      <c r="A20" s="12">
        <v>246546084</v>
      </c>
      <c r="B20" s="14" t="s">
        <v>81</v>
      </c>
      <c r="C20" s="14" t="s">
        <v>47</v>
      </c>
      <c r="D20" s="14" t="s">
        <v>82</v>
      </c>
      <c r="E20" s="17">
        <v>79</v>
      </c>
      <c r="F20" s="17">
        <v>35</v>
      </c>
      <c r="G20" s="17">
        <v>40</v>
      </c>
      <c r="H20" s="17">
        <v>83</v>
      </c>
      <c r="I20" s="10">
        <v>158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0">
        <v>2</v>
      </c>
      <c r="R20" s="17">
        <v>7</v>
      </c>
      <c r="S20" s="17">
        <v>9</v>
      </c>
      <c r="T20" s="17">
        <v>9</v>
      </c>
      <c r="U20" s="17">
        <v>13</v>
      </c>
      <c r="V20" s="17">
        <v>19</v>
      </c>
      <c r="W20" s="17">
        <v>29</v>
      </c>
      <c r="X20" s="17">
        <v>40</v>
      </c>
      <c r="Y20" s="17">
        <v>50</v>
      </c>
      <c r="Z20" s="17">
        <v>60</v>
      </c>
      <c r="AA20" s="18">
        <v>69</v>
      </c>
    </row>
    <row r="21" spans="1:27" x14ac:dyDescent="0.3">
      <c r="A21" s="12">
        <v>246402590</v>
      </c>
      <c r="B21" s="14" t="s">
        <v>83</v>
      </c>
      <c r="C21" s="14" t="s">
        <v>47</v>
      </c>
      <c r="D21" s="14" t="s">
        <v>84</v>
      </c>
      <c r="E21" s="17">
        <v>185</v>
      </c>
      <c r="F21" s="17">
        <v>84</v>
      </c>
      <c r="G21" s="17">
        <v>54</v>
      </c>
      <c r="H21" s="17">
        <v>75</v>
      </c>
      <c r="I21" s="10">
        <v>213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1</v>
      </c>
      <c r="P21" s="17">
        <v>4</v>
      </c>
      <c r="Q21" s="10">
        <v>12</v>
      </c>
      <c r="R21" s="17">
        <v>22</v>
      </c>
      <c r="S21" s="17">
        <v>31</v>
      </c>
      <c r="T21" s="17">
        <v>35</v>
      </c>
      <c r="U21" s="17">
        <v>48</v>
      </c>
      <c r="V21" s="17">
        <v>78</v>
      </c>
      <c r="W21" s="17">
        <v>106</v>
      </c>
      <c r="X21" s="17">
        <v>119</v>
      </c>
      <c r="Y21" s="17">
        <v>145</v>
      </c>
      <c r="Z21" s="17">
        <v>159</v>
      </c>
      <c r="AA21" s="18">
        <v>172</v>
      </c>
    </row>
    <row r="22" spans="1:27" x14ac:dyDescent="0.3">
      <c r="A22" s="12">
        <v>246409102</v>
      </c>
      <c r="B22" s="14" t="s">
        <v>85</v>
      </c>
      <c r="C22" s="14" t="s">
        <v>47</v>
      </c>
      <c r="D22" s="14" t="s">
        <v>86</v>
      </c>
      <c r="E22" s="17">
        <v>86</v>
      </c>
      <c r="F22" s="17">
        <v>60</v>
      </c>
      <c r="G22" s="17">
        <v>50</v>
      </c>
      <c r="H22" s="17">
        <v>73</v>
      </c>
      <c r="I22" s="10">
        <v>183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1</v>
      </c>
      <c r="Q22" s="10">
        <v>4</v>
      </c>
      <c r="R22" s="17">
        <v>7</v>
      </c>
      <c r="S22" s="17">
        <v>9</v>
      </c>
      <c r="T22" s="17">
        <v>9</v>
      </c>
      <c r="U22" s="17">
        <v>18</v>
      </c>
      <c r="V22" s="17">
        <v>26</v>
      </c>
      <c r="W22" s="17">
        <v>32</v>
      </c>
      <c r="X22" s="17">
        <v>44</v>
      </c>
      <c r="Y22" s="17">
        <v>54</v>
      </c>
      <c r="Z22" s="17">
        <v>58</v>
      </c>
      <c r="AA22" s="18">
        <v>62</v>
      </c>
    </row>
    <row r="23" spans="1:27" x14ac:dyDescent="0.3">
      <c r="A23" s="12">
        <v>257406664</v>
      </c>
      <c r="B23" s="14" t="s">
        <v>87</v>
      </c>
      <c r="C23" s="14" t="s">
        <v>47</v>
      </c>
      <c r="D23" s="14" t="s">
        <v>88</v>
      </c>
      <c r="E23" s="17">
        <v>30</v>
      </c>
      <c r="F23" s="17">
        <v>88</v>
      </c>
      <c r="G23" s="17">
        <v>29</v>
      </c>
      <c r="H23" s="17">
        <v>90</v>
      </c>
      <c r="I23" s="10">
        <v>207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1</v>
      </c>
      <c r="P23" s="17">
        <v>4</v>
      </c>
      <c r="Q23" s="10">
        <v>7</v>
      </c>
      <c r="R23" s="17">
        <v>9</v>
      </c>
      <c r="S23" s="17">
        <v>10</v>
      </c>
      <c r="T23" s="17">
        <v>10</v>
      </c>
      <c r="U23" s="17">
        <v>12</v>
      </c>
      <c r="V23" s="17">
        <v>16</v>
      </c>
      <c r="W23" s="17">
        <v>19</v>
      </c>
      <c r="X23" s="17">
        <v>21</v>
      </c>
      <c r="Y23" s="17">
        <v>22</v>
      </c>
      <c r="Z23" s="17">
        <v>23</v>
      </c>
      <c r="AA23" s="18">
        <v>25</v>
      </c>
    </row>
    <row r="24" spans="1:27" x14ac:dyDescent="0.3">
      <c r="A24" s="12">
        <v>246407947</v>
      </c>
      <c r="B24" s="14" t="s">
        <v>89</v>
      </c>
      <c r="C24" s="14" t="s">
        <v>47</v>
      </c>
      <c r="D24" s="14" t="s">
        <v>90</v>
      </c>
      <c r="E24" s="17">
        <v>111</v>
      </c>
      <c r="F24" s="17">
        <v>39</v>
      </c>
      <c r="G24" s="17">
        <v>59</v>
      </c>
      <c r="H24" s="17">
        <v>60</v>
      </c>
      <c r="I24" s="10">
        <v>158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0">
        <v>1</v>
      </c>
      <c r="R24" s="17">
        <v>2</v>
      </c>
      <c r="S24" s="17">
        <v>4</v>
      </c>
      <c r="T24" s="17">
        <v>4</v>
      </c>
      <c r="U24" s="17">
        <v>8</v>
      </c>
      <c r="V24" s="17">
        <v>13</v>
      </c>
      <c r="W24" s="17">
        <v>22</v>
      </c>
      <c r="X24" s="17">
        <v>31</v>
      </c>
      <c r="Y24" s="17">
        <v>50</v>
      </c>
      <c r="Z24" s="17">
        <v>71</v>
      </c>
      <c r="AA24" s="18">
        <v>85</v>
      </c>
    </row>
    <row r="25" spans="1:27" x14ac:dyDescent="0.3">
      <c r="A25" s="12">
        <v>246552320</v>
      </c>
      <c r="B25" s="14" t="s">
        <v>91</v>
      </c>
      <c r="C25" s="14" t="s">
        <v>47</v>
      </c>
      <c r="D25" s="14" t="s">
        <v>92</v>
      </c>
      <c r="E25" s="17">
        <v>38</v>
      </c>
      <c r="F25" s="17">
        <v>71</v>
      </c>
      <c r="G25" s="17">
        <v>54</v>
      </c>
      <c r="H25" s="17">
        <v>90</v>
      </c>
      <c r="I25" s="10">
        <v>215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1</v>
      </c>
      <c r="P25" s="17">
        <v>1</v>
      </c>
      <c r="Q25" s="10">
        <v>1</v>
      </c>
      <c r="R25" s="17">
        <v>2</v>
      </c>
      <c r="S25" s="17">
        <v>3</v>
      </c>
      <c r="T25" s="17">
        <v>3</v>
      </c>
      <c r="U25" s="17">
        <v>5</v>
      </c>
      <c r="V25" s="17">
        <v>9</v>
      </c>
      <c r="W25" s="17">
        <v>9</v>
      </c>
      <c r="X25" s="17">
        <v>11</v>
      </c>
      <c r="Y25" s="17">
        <v>14</v>
      </c>
      <c r="Z25" s="17">
        <v>16</v>
      </c>
      <c r="AA25" s="18">
        <v>20</v>
      </c>
    </row>
    <row r="26" spans="1:27" x14ac:dyDescent="0.3">
      <c r="A26" s="12">
        <v>246263199</v>
      </c>
      <c r="B26" s="14" t="s">
        <v>93</v>
      </c>
      <c r="C26" s="14" t="s">
        <v>94</v>
      </c>
      <c r="D26" s="14" t="s">
        <v>95</v>
      </c>
      <c r="E26" s="17">
        <v>96</v>
      </c>
      <c r="F26" s="17">
        <v>51</v>
      </c>
      <c r="G26" s="17">
        <v>22</v>
      </c>
      <c r="H26" s="17">
        <v>60</v>
      </c>
      <c r="I26" s="10">
        <v>133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0">
        <v>0</v>
      </c>
      <c r="R26" s="17">
        <v>0</v>
      </c>
      <c r="S26" s="17">
        <v>1</v>
      </c>
      <c r="T26" s="17">
        <v>1</v>
      </c>
      <c r="U26" s="17">
        <v>4</v>
      </c>
      <c r="V26" s="17">
        <v>7</v>
      </c>
      <c r="W26" s="17">
        <v>14</v>
      </c>
      <c r="X26" s="17">
        <v>19</v>
      </c>
      <c r="Y26" s="17">
        <v>34</v>
      </c>
      <c r="Z26" s="17">
        <v>46</v>
      </c>
      <c r="AA26" s="18">
        <v>57</v>
      </c>
    </row>
    <row r="27" spans="1:27" x14ac:dyDescent="0.3">
      <c r="A27" s="12">
        <v>246405651</v>
      </c>
      <c r="B27" s="14" t="s">
        <v>96</v>
      </c>
      <c r="C27" s="14" t="s">
        <v>47</v>
      </c>
      <c r="D27" s="14" t="s">
        <v>97</v>
      </c>
      <c r="E27" s="17">
        <v>43</v>
      </c>
      <c r="F27" s="17">
        <v>75</v>
      </c>
      <c r="G27" s="17">
        <v>35</v>
      </c>
      <c r="H27" s="17">
        <v>62</v>
      </c>
      <c r="I27" s="10">
        <v>172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0">
        <v>1</v>
      </c>
      <c r="R27" s="17">
        <v>2</v>
      </c>
      <c r="S27" s="17">
        <v>3</v>
      </c>
      <c r="T27" s="17">
        <v>4</v>
      </c>
      <c r="U27" s="17">
        <v>5</v>
      </c>
      <c r="V27" s="17">
        <v>9</v>
      </c>
      <c r="W27" s="17">
        <v>10</v>
      </c>
      <c r="X27" s="17">
        <v>13</v>
      </c>
      <c r="Y27" s="17">
        <v>21</v>
      </c>
      <c r="Z27" s="17">
        <v>23</v>
      </c>
      <c r="AA27" s="18">
        <v>27</v>
      </c>
    </row>
    <row r="28" spans="1:27" x14ac:dyDescent="0.3">
      <c r="A28" s="12">
        <v>246149860</v>
      </c>
      <c r="B28" s="14" t="s">
        <v>98</v>
      </c>
      <c r="C28" s="14" t="s">
        <v>47</v>
      </c>
      <c r="D28" s="14" t="s">
        <v>99</v>
      </c>
      <c r="E28" s="17">
        <v>86</v>
      </c>
      <c r="F28" s="17">
        <v>40</v>
      </c>
      <c r="G28" s="17">
        <v>23</v>
      </c>
      <c r="H28" s="17">
        <v>52</v>
      </c>
      <c r="I28" s="10">
        <v>115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0">
        <v>0</v>
      </c>
      <c r="R28" s="17">
        <v>0</v>
      </c>
      <c r="S28" s="17">
        <v>0</v>
      </c>
      <c r="T28" s="17">
        <v>0</v>
      </c>
      <c r="U28" s="17">
        <v>1</v>
      </c>
      <c r="V28" s="17">
        <v>5</v>
      </c>
      <c r="W28" s="17">
        <v>12</v>
      </c>
      <c r="X28" s="17">
        <v>18</v>
      </c>
      <c r="Y28" s="17">
        <v>33</v>
      </c>
      <c r="Z28" s="17">
        <v>45</v>
      </c>
      <c r="AA28" s="18">
        <v>61</v>
      </c>
    </row>
    <row r="29" spans="1:27" x14ac:dyDescent="0.3">
      <c r="A29" s="12">
        <v>246052548</v>
      </c>
      <c r="B29" s="14" t="s">
        <v>100</v>
      </c>
      <c r="C29" s="14" t="s">
        <v>47</v>
      </c>
      <c r="D29" s="14" t="s">
        <v>101</v>
      </c>
      <c r="E29" s="17">
        <v>21</v>
      </c>
      <c r="F29" s="17">
        <v>23</v>
      </c>
      <c r="G29" s="17">
        <v>20</v>
      </c>
      <c r="H29" s="17">
        <v>23</v>
      </c>
      <c r="I29" s="10">
        <v>66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0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5</v>
      </c>
      <c r="AA29" s="18">
        <v>8</v>
      </c>
    </row>
    <row r="30" spans="1:27" x14ac:dyDescent="0.3">
      <c r="A30" s="12">
        <v>246196672</v>
      </c>
      <c r="B30" s="14" t="s">
        <v>102</v>
      </c>
      <c r="C30" s="14" t="s">
        <v>47</v>
      </c>
      <c r="D30" s="14" t="s">
        <v>103</v>
      </c>
      <c r="E30" s="17">
        <v>236</v>
      </c>
      <c r="F30" s="17">
        <v>74</v>
      </c>
      <c r="G30" s="17">
        <v>60</v>
      </c>
      <c r="H30" s="17">
        <v>69</v>
      </c>
      <c r="I30" s="10">
        <v>203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1</v>
      </c>
      <c r="P30" s="17">
        <v>2</v>
      </c>
      <c r="Q30" s="10">
        <v>8</v>
      </c>
      <c r="R30" s="17">
        <v>15</v>
      </c>
      <c r="S30" s="17">
        <v>21</v>
      </c>
      <c r="T30" s="17">
        <v>26</v>
      </c>
      <c r="U30" s="17">
        <v>32</v>
      </c>
      <c r="V30" s="17">
        <v>47</v>
      </c>
      <c r="W30" s="17">
        <v>57</v>
      </c>
      <c r="X30" s="17">
        <v>78</v>
      </c>
      <c r="Y30" s="17">
        <v>100</v>
      </c>
      <c r="Z30" s="17">
        <v>122</v>
      </c>
      <c r="AA30" s="18">
        <v>151</v>
      </c>
    </row>
    <row r="31" spans="1:27" x14ac:dyDescent="0.3">
      <c r="A31" s="12">
        <v>246180687</v>
      </c>
      <c r="B31" s="14" t="s">
        <v>104</v>
      </c>
      <c r="C31" s="14" t="s">
        <v>105</v>
      </c>
      <c r="D31" s="14" t="s">
        <v>106</v>
      </c>
      <c r="E31" s="17">
        <v>193</v>
      </c>
      <c r="F31" s="17">
        <v>21</v>
      </c>
      <c r="G31" s="17">
        <v>38</v>
      </c>
      <c r="H31" s="17">
        <v>47</v>
      </c>
      <c r="I31" s="10">
        <v>106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0">
        <v>0</v>
      </c>
      <c r="R31" s="17">
        <v>0</v>
      </c>
      <c r="S31" s="17">
        <v>0</v>
      </c>
      <c r="T31" s="17">
        <v>0</v>
      </c>
      <c r="U31" s="17">
        <v>0</v>
      </c>
      <c r="V31" s="17">
        <v>1</v>
      </c>
      <c r="W31" s="17">
        <v>5</v>
      </c>
      <c r="X31" s="17">
        <v>21</v>
      </c>
      <c r="Y31" s="17">
        <v>35</v>
      </c>
      <c r="Z31" s="17">
        <v>46</v>
      </c>
      <c r="AA31" s="18">
        <v>68</v>
      </c>
    </row>
    <row r="32" spans="1:27" x14ac:dyDescent="0.3">
      <c r="A32" s="12">
        <v>246125064</v>
      </c>
      <c r="B32" s="14" t="s">
        <v>107</v>
      </c>
      <c r="C32" s="14" t="s">
        <v>108</v>
      </c>
      <c r="D32" s="14" t="s">
        <v>109</v>
      </c>
      <c r="E32" s="17">
        <v>115</v>
      </c>
      <c r="F32" s="17">
        <v>66</v>
      </c>
      <c r="G32" s="17">
        <v>42</v>
      </c>
      <c r="H32" s="17">
        <v>39</v>
      </c>
      <c r="I32" s="10">
        <v>147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0">
        <v>0</v>
      </c>
      <c r="R32" s="17">
        <v>1</v>
      </c>
      <c r="S32" s="17">
        <v>4</v>
      </c>
      <c r="T32" s="17">
        <v>6</v>
      </c>
      <c r="U32" s="17">
        <v>13</v>
      </c>
      <c r="V32" s="17">
        <v>20</v>
      </c>
      <c r="W32" s="17">
        <v>21</v>
      </c>
      <c r="X32" s="17">
        <v>25</v>
      </c>
      <c r="Y32" s="17">
        <v>33</v>
      </c>
      <c r="Z32" s="17">
        <v>42</v>
      </c>
      <c r="AA32" s="18">
        <v>63</v>
      </c>
    </row>
    <row r="33" spans="1:27" x14ac:dyDescent="0.3">
      <c r="A33" s="12">
        <v>246270801</v>
      </c>
      <c r="B33" s="14" t="s">
        <v>110</v>
      </c>
      <c r="C33" s="14" t="s">
        <v>111</v>
      </c>
      <c r="D33" s="14" t="s">
        <v>112</v>
      </c>
      <c r="E33" s="17">
        <v>173</v>
      </c>
      <c r="F33" s="17">
        <v>51</v>
      </c>
      <c r="G33" s="17">
        <v>58</v>
      </c>
      <c r="H33" s="17">
        <v>67</v>
      </c>
      <c r="I33" s="10">
        <v>176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1</v>
      </c>
      <c r="Q33" s="10">
        <v>2</v>
      </c>
      <c r="R33" s="17">
        <v>5</v>
      </c>
      <c r="S33" s="17">
        <v>12</v>
      </c>
      <c r="T33" s="17">
        <v>14</v>
      </c>
      <c r="U33" s="17">
        <v>29</v>
      </c>
      <c r="V33" s="17">
        <v>34</v>
      </c>
      <c r="W33" s="17">
        <v>44</v>
      </c>
      <c r="X33" s="17">
        <v>63</v>
      </c>
      <c r="Y33" s="17">
        <v>83</v>
      </c>
      <c r="Z33" s="17">
        <v>104</v>
      </c>
      <c r="AA33" s="18">
        <v>123</v>
      </c>
    </row>
    <row r="34" spans="1:27" x14ac:dyDescent="0.3">
      <c r="A34" s="12">
        <v>246129441</v>
      </c>
      <c r="B34" s="14" t="s">
        <v>113</v>
      </c>
      <c r="C34" s="14" t="s">
        <v>47</v>
      </c>
      <c r="D34" s="14" t="s">
        <v>114</v>
      </c>
      <c r="E34" s="17">
        <v>40</v>
      </c>
      <c r="F34" s="17">
        <v>48</v>
      </c>
      <c r="G34" s="17">
        <v>30</v>
      </c>
      <c r="H34" s="17">
        <v>52</v>
      </c>
      <c r="I34" s="10">
        <v>130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0">
        <v>0</v>
      </c>
      <c r="R34" s="17">
        <v>0</v>
      </c>
      <c r="S34" s="17">
        <v>1</v>
      </c>
      <c r="T34" s="17">
        <v>1</v>
      </c>
      <c r="U34" s="17">
        <v>1</v>
      </c>
      <c r="V34" s="17">
        <v>1</v>
      </c>
      <c r="W34" s="17">
        <v>1</v>
      </c>
      <c r="X34" s="17">
        <v>1</v>
      </c>
      <c r="Y34" s="17">
        <v>2</v>
      </c>
      <c r="Z34" s="17">
        <v>3</v>
      </c>
      <c r="AA34" s="18">
        <v>4</v>
      </c>
    </row>
    <row r="35" spans="1:27" x14ac:dyDescent="0.3">
      <c r="A35" s="12">
        <v>246118564</v>
      </c>
      <c r="B35" s="14" t="s">
        <v>115</v>
      </c>
      <c r="C35" s="14" t="s">
        <v>116</v>
      </c>
      <c r="D35" s="14" t="s">
        <v>117</v>
      </c>
      <c r="E35" s="17">
        <v>118</v>
      </c>
      <c r="F35" s="17">
        <v>45</v>
      </c>
      <c r="G35" s="17">
        <v>15</v>
      </c>
      <c r="H35" s="17">
        <v>74</v>
      </c>
      <c r="I35" s="10">
        <v>134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0">
        <v>0</v>
      </c>
      <c r="R35" s="17">
        <v>0</v>
      </c>
      <c r="S35" s="17">
        <v>1</v>
      </c>
      <c r="T35" s="17">
        <v>1</v>
      </c>
      <c r="U35" s="17">
        <v>3</v>
      </c>
      <c r="V35" s="17">
        <v>4</v>
      </c>
      <c r="W35" s="17">
        <v>6</v>
      </c>
      <c r="X35" s="17">
        <v>9</v>
      </c>
      <c r="Y35" s="17">
        <v>13</v>
      </c>
      <c r="Z35" s="17">
        <v>23</v>
      </c>
      <c r="AA35" s="18">
        <v>37</v>
      </c>
    </row>
    <row r="36" spans="1:27" x14ac:dyDescent="0.3">
      <c r="A36" s="12">
        <v>246175042</v>
      </c>
      <c r="B36" s="14" t="s">
        <v>118</v>
      </c>
      <c r="C36" s="14" t="s">
        <v>119</v>
      </c>
      <c r="D36" s="14" t="s">
        <v>120</v>
      </c>
      <c r="E36" s="17">
        <v>177</v>
      </c>
      <c r="F36" s="17">
        <v>59</v>
      </c>
      <c r="G36" s="17">
        <v>54</v>
      </c>
      <c r="H36" s="17">
        <v>53</v>
      </c>
      <c r="I36" s="10">
        <v>166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0">
        <v>3</v>
      </c>
      <c r="R36" s="17">
        <v>9</v>
      </c>
      <c r="S36" s="17">
        <v>16</v>
      </c>
      <c r="T36" s="17">
        <v>20</v>
      </c>
      <c r="U36" s="17">
        <v>36</v>
      </c>
      <c r="V36" s="17">
        <v>58</v>
      </c>
      <c r="W36" s="17">
        <v>90</v>
      </c>
      <c r="X36" s="17">
        <v>112</v>
      </c>
      <c r="Y36" s="17">
        <v>133</v>
      </c>
      <c r="Z36" s="17">
        <v>148</v>
      </c>
      <c r="AA36" s="18">
        <v>157</v>
      </c>
    </row>
    <row r="37" spans="1:27" x14ac:dyDescent="0.3">
      <c r="A37" s="12">
        <v>246124082</v>
      </c>
      <c r="B37" s="14" t="s">
        <v>121</v>
      </c>
      <c r="C37" s="14" t="s">
        <v>122</v>
      </c>
      <c r="D37" s="14" t="s">
        <v>123</v>
      </c>
      <c r="E37" s="17">
        <v>353</v>
      </c>
      <c r="F37" s="17">
        <v>46</v>
      </c>
      <c r="G37" s="17">
        <v>17</v>
      </c>
      <c r="H37" s="17">
        <v>45</v>
      </c>
      <c r="I37" s="10">
        <v>108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0">
        <v>0</v>
      </c>
      <c r="R37" s="17">
        <v>0</v>
      </c>
      <c r="S37" s="17">
        <v>0</v>
      </c>
      <c r="T37" s="17">
        <v>0</v>
      </c>
      <c r="U37" s="17">
        <v>0</v>
      </c>
      <c r="V37" s="17">
        <v>2</v>
      </c>
      <c r="W37" s="17">
        <v>5</v>
      </c>
      <c r="X37" s="17">
        <v>13</v>
      </c>
      <c r="Y37" s="17">
        <v>15</v>
      </c>
      <c r="Z37" s="17">
        <v>22</v>
      </c>
      <c r="AA37" s="18">
        <v>34</v>
      </c>
    </row>
    <row r="38" spans="1:27" x14ac:dyDescent="0.3">
      <c r="A38" s="12">
        <v>246046359</v>
      </c>
      <c r="B38" s="14" t="s">
        <v>124</v>
      </c>
      <c r="C38" s="14" t="s">
        <v>47</v>
      </c>
      <c r="D38" s="14" t="s">
        <v>125</v>
      </c>
      <c r="E38" s="17">
        <v>540</v>
      </c>
      <c r="F38" s="17">
        <v>41</v>
      </c>
      <c r="G38" s="17">
        <v>38</v>
      </c>
      <c r="H38" s="17">
        <v>62</v>
      </c>
      <c r="I38" s="10">
        <v>141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0">
        <v>0</v>
      </c>
      <c r="R38" s="17">
        <v>3</v>
      </c>
      <c r="S38" s="17">
        <v>3</v>
      </c>
      <c r="T38" s="17">
        <v>4</v>
      </c>
      <c r="U38" s="17">
        <v>8</v>
      </c>
      <c r="V38" s="17">
        <v>12</v>
      </c>
      <c r="W38" s="17">
        <v>19</v>
      </c>
      <c r="X38" s="17">
        <v>37</v>
      </c>
      <c r="Y38" s="17">
        <v>58</v>
      </c>
      <c r="Z38" s="17">
        <v>92</v>
      </c>
      <c r="AA38" s="18">
        <v>136</v>
      </c>
    </row>
    <row r="39" spans="1:27" x14ac:dyDescent="0.3">
      <c r="A39" s="12">
        <v>246057726</v>
      </c>
      <c r="B39" s="14" t="s">
        <v>126</v>
      </c>
      <c r="C39" s="14" t="s">
        <v>47</v>
      </c>
      <c r="D39" s="14" t="s">
        <v>127</v>
      </c>
      <c r="E39" s="17">
        <v>133</v>
      </c>
      <c r="F39" s="17">
        <v>9</v>
      </c>
      <c r="G39" s="17">
        <v>33</v>
      </c>
      <c r="H39" s="17">
        <v>73</v>
      </c>
      <c r="I39" s="10">
        <v>115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0">
        <v>0</v>
      </c>
      <c r="R39" s="17">
        <v>0</v>
      </c>
      <c r="S39" s="17">
        <v>0</v>
      </c>
      <c r="T39" s="17">
        <v>0</v>
      </c>
      <c r="U39" s="17">
        <v>1</v>
      </c>
      <c r="V39" s="17">
        <v>1</v>
      </c>
      <c r="W39" s="17">
        <v>2</v>
      </c>
      <c r="X39" s="17">
        <v>2</v>
      </c>
      <c r="Y39" s="17">
        <v>4</v>
      </c>
      <c r="Z39" s="17">
        <v>8</v>
      </c>
      <c r="AA39" s="18">
        <v>22</v>
      </c>
    </row>
    <row r="40" spans="1:27" x14ac:dyDescent="0.3">
      <c r="A40" s="12">
        <v>246048787</v>
      </c>
      <c r="B40" s="14" t="s">
        <v>128</v>
      </c>
      <c r="C40" s="14" t="s">
        <v>47</v>
      </c>
      <c r="D40" s="14" t="s">
        <v>129</v>
      </c>
      <c r="E40" s="17">
        <v>115</v>
      </c>
      <c r="F40" s="17">
        <v>48</v>
      </c>
      <c r="G40" s="17">
        <v>44</v>
      </c>
      <c r="H40" s="17">
        <v>69</v>
      </c>
      <c r="I40" s="10">
        <v>161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0">
        <v>1</v>
      </c>
      <c r="R40" s="17">
        <v>2</v>
      </c>
      <c r="S40" s="17">
        <v>2</v>
      </c>
      <c r="T40" s="17">
        <v>3</v>
      </c>
      <c r="U40" s="17">
        <v>8</v>
      </c>
      <c r="V40" s="17">
        <v>16</v>
      </c>
      <c r="W40" s="17">
        <v>27</v>
      </c>
      <c r="X40" s="17">
        <v>33</v>
      </c>
      <c r="Y40" s="17">
        <v>48</v>
      </c>
      <c r="Z40" s="17">
        <v>60</v>
      </c>
      <c r="AA40" s="18">
        <v>70</v>
      </c>
    </row>
    <row r="41" spans="1:27" x14ac:dyDescent="0.3">
      <c r="A41" s="12">
        <v>246148195</v>
      </c>
      <c r="B41" s="14" t="s">
        <v>130</v>
      </c>
      <c r="C41" s="14" t="s">
        <v>131</v>
      </c>
      <c r="D41" s="14" t="s">
        <v>132</v>
      </c>
      <c r="E41" s="17">
        <v>93</v>
      </c>
      <c r="F41" s="17">
        <v>72</v>
      </c>
      <c r="G41" s="17">
        <v>56</v>
      </c>
      <c r="H41" s="17">
        <v>57</v>
      </c>
      <c r="I41" s="10">
        <v>185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1</v>
      </c>
      <c r="Q41" s="10">
        <v>3</v>
      </c>
      <c r="R41" s="17">
        <v>6</v>
      </c>
      <c r="S41" s="17">
        <v>7</v>
      </c>
      <c r="T41" s="17">
        <v>8</v>
      </c>
      <c r="U41" s="17">
        <v>8</v>
      </c>
      <c r="V41" s="17">
        <v>13</v>
      </c>
      <c r="W41" s="17">
        <v>18</v>
      </c>
      <c r="X41" s="17">
        <v>22</v>
      </c>
      <c r="Y41" s="17">
        <v>34</v>
      </c>
      <c r="Z41" s="17">
        <v>50</v>
      </c>
      <c r="AA41" s="18">
        <v>61</v>
      </c>
    </row>
    <row r="42" spans="1:27" x14ac:dyDescent="0.3">
      <c r="A42" s="12">
        <v>246046885</v>
      </c>
      <c r="B42" s="14" t="s">
        <v>133</v>
      </c>
      <c r="C42" s="14" t="s">
        <v>134</v>
      </c>
      <c r="D42" s="14" t="s">
        <v>135</v>
      </c>
      <c r="E42" s="17">
        <v>45</v>
      </c>
      <c r="F42" s="17">
        <v>34</v>
      </c>
      <c r="G42" s="17">
        <v>34</v>
      </c>
      <c r="H42" s="17">
        <v>51</v>
      </c>
      <c r="I42" s="10">
        <v>119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0">
        <v>0</v>
      </c>
      <c r="R42" s="17">
        <v>0</v>
      </c>
      <c r="S42" s="17">
        <v>0</v>
      </c>
      <c r="T42" s="17">
        <v>0</v>
      </c>
      <c r="U42" s="17">
        <v>1</v>
      </c>
      <c r="V42" s="17">
        <v>3</v>
      </c>
      <c r="W42" s="17">
        <v>4</v>
      </c>
      <c r="X42" s="17">
        <v>6</v>
      </c>
      <c r="Y42" s="17">
        <v>13</v>
      </c>
      <c r="Z42" s="17">
        <v>21</v>
      </c>
      <c r="AA42" s="18">
        <v>31</v>
      </c>
    </row>
    <row r="43" spans="1:27" x14ac:dyDescent="0.3">
      <c r="A43" s="12">
        <v>246100560</v>
      </c>
      <c r="B43" s="14" t="s">
        <v>136</v>
      </c>
      <c r="C43" s="14" t="s">
        <v>47</v>
      </c>
      <c r="D43" s="14" t="s">
        <v>137</v>
      </c>
      <c r="E43" s="17">
        <v>231</v>
      </c>
      <c r="F43" s="17">
        <v>42</v>
      </c>
      <c r="G43" s="17">
        <v>35</v>
      </c>
      <c r="H43" s="17">
        <v>57</v>
      </c>
      <c r="I43" s="10">
        <v>134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0">
        <v>0</v>
      </c>
      <c r="R43" s="17">
        <v>0</v>
      </c>
      <c r="S43" s="17">
        <v>2</v>
      </c>
      <c r="T43" s="17">
        <v>5</v>
      </c>
      <c r="U43" s="17">
        <v>7</v>
      </c>
      <c r="V43" s="17">
        <v>13</v>
      </c>
      <c r="W43" s="17">
        <v>18</v>
      </c>
      <c r="X43" s="17">
        <v>24</v>
      </c>
      <c r="Y43" s="17">
        <v>38</v>
      </c>
      <c r="Z43" s="17">
        <v>54</v>
      </c>
      <c r="AA43" s="18">
        <v>70</v>
      </c>
    </row>
    <row r="44" spans="1:27" x14ac:dyDescent="0.3">
      <c r="A44" s="12">
        <v>246026701</v>
      </c>
      <c r="B44" s="14" t="s">
        <v>138</v>
      </c>
      <c r="C44" s="14" t="s">
        <v>47</v>
      </c>
      <c r="D44" s="14" t="s">
        <v>139</v>
      </c>
      <c r="E44" s="17">
        <v>242</v>
      </c>
      <c r="F44" s="17">
        <v>67</v>
      </c>
      <c r="G44" s="17">
        <v>51</v>
      </c>
      <c r="H44" s="17">
        <v>69</v>
      </c>
      <c r="I44" s="10">
        <v>187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1</v>
      </c>
      <c r="Q44" s="10">
        <v>3</v>
      </c>
      <c r="R44" s="17">
        <v>5</v>
      </c>
      <c r="S44" s="17">
        <v>7</v>
      </c>
      <c r="T44" s="17">
        <v>11</v>
      </c>
      <c r="U44" s="17">
        <v>15</v>
      </c>
      <c r="V44" s="17">
        <v>19</v>
      </c>
      <c r="W44" s="17">
        <v>29</v>
      </c>
      <c r="X44" s="17">
        <v>43</v>
      </c>
      <c r="Y44" s="17">
        <v>53</v>
      </c>
      <c r="Z44" s="17">
        <v>81</v>
      </c>
      <c r="AA44" s="18">
        <v>109</v>
      </c>
    </row>
    <row r="45" spans="1:27" x14ac:dyDescent="0.3">
      <c r="A45" s="12">
        <v>246274125</v>
      </c>
      <c r="B45" s="14" t="s">
        <v>140</v>
      </c>
      <c r="C45" s="14" t="s">
        <v>141</v>
      </c>
      <c r="D45" s="14" t="s">
        <v>142</v>
      </c>
      <c r="E45" s="17">
        <v>28</v>
      </c>
      <c r="F45" s="17">
        <v>54</v>
      </c>
      <c r="G45" s="17">
        <v>9</v>
      </c>
      <c r="H45" s="17">
        <v>40</v>
      </c>
      <c r="I45" s="10">
        <v>103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0">
        <v>0</v>
      </c>
      <c r="R45" s="17">
        <v>0</v>
      </c>
      <c r="S45" s="17">
        <v>0</v>
      </c>
      <c r="T45" s="17">
        <v>0</v>
      </c>
      <c r="U45" s="17">
        <v>0</v>
      </c>
      <c r="V45" s="17">
        <v>2</v>
      </c>
      <c r="W45" s="17">
        <v>2</v>
      </c>
      <c r="X45" s="17">
        <v>3</v>
      </c>
      <c r="Y45" s="17">
        <v>4</v>
      </c>
      <c r="Z45" s="17">
        <v>5</v>
      </c>
      <c r="AA45" s="18">
        <v>5</v>
      </c>
    </row>
    <row r="46" spans="1:27" x14ac:dyDescent="0.3">
      <c r="A46" s="12">
        <v>246071303</v>
      </c>
      <c r="B46" s="14" t="s">
        <v>143</v>
      </c>
      <c r="C46" s="14" t="s">
        <v>47</v>
      </c>
      <c r="D46" s="14" t="s">
        <v>144</v>
      </c>
      <c r="E46" s="17">
        <v>295</v>
      </c>
      <c r="F46" s="17">
        <v>56</v>
      </c>
      <c r="G46" s="17">
        <v>43</v>
      </c>
      <c r="H46" s="17">
        <v>65</v>
      </c>
      <c r="I46" s="10">
        <v>164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0">
        <v>1</v>
      </c>
      <c r="R46" s="17">
        <v>2</v>
      </c>
      <c r="S46" s="17">
        <v>9</v>
      </c>
      <c r="T46" s="17">
        <v>16</v>
      </c>
      <c r="U46" s="17">
        <v>29</v>
      </c>
      <c r="V46" s="17">
        <v>55</v>
      </c>
      <c r="W46" s="17">
        <v>85</v>
      </c>
      <c r="X46" s="17">
        <v>114</v>
      </c>
      <c r="Y46" s="17">
        <v>141</v>
      </c>
      <c r="Z46" s="17">
        <v>171</v>
      </c>
      <c r="AA46" s="18">
        <v>197</v>
      </c>
    </row>
    <row r="47" spans="1:27" x14ac:dyDescent="0.3">
      <c r="A47" s="12">
        <v>246054107</v>
      </c>
      <c r="B47" s="14" t="s">
        <v>145</v>
      </c>
      <c r="C47" s="14" t="s">
        <v>47</v>
      </c>
      <c r="D47" s="14" t="s">
        <v>146</v>
      </c>
      <c r="E47" s="17">
        <v>658</v>
      </c>
      <c r="F47" s="17">
        <v>55</v>
      </c>
      <c r="G47" s="17">
        <v>39</v>
      </c>
      <c r="H47" s="17">
        <v>71</v>
      </c>
      <c r="I47" s="10">
        <v>165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0">
        <v>2</v>
      </c>
      <c r="R47" s="17">
        <v>6</v>
      </c>
      <c r="S47" s="17">
        <v>15</v>
      </c>
      <c r="T47" s="17">
        <v>24</v>
      </c>
      <c r="U47" s="17">
        <v>45</v>
      </c>
      <c r="V47" s="17">
        <v>69</v>
      </c>
      <c r="W47" s="17">
        <v>140</v>
      </c>
      <c r="X47" s="17">
        <v>209</v>
      </c>
      <c r="Y47" s="17">
        <v>302</v>
      </c>
      <c r="Z47" s="17">
        <v>393</v>
      </c>
      <c r="AA47" s="18">
        <v>463</v>
      </c>
    </row>
    <row r="48" spans="1:27" x14ac:dyDescent="0.3">
      <c r="A48" s="12">
        <v>246193558</v>
      </c>
      <c r="B48" s="14" t="s">
        <v>147</v>
      </c>
      <c r="C48" s="14" t="s">
        <v>148</v>
      </c>
      <c r="D48" s="14" t="s">
        <v>149</v>
      </c>
      <c r="E48" s="17">
        <v>41</v>
      </c>
      <c r="F48" s="17">
        <v>60</v>
      </c>
      <c r="G48" s="17">
        <v>56</v>
      </c>
      <c r="H48" s="17">
        <v>48</v>
      </c>
      <c r="I48" s="10">
        <v>164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0">
        <v>1</v>
      </c>
      <c r="R48" s="17">
        <v>1</v>
      </c>
      <c r="S48" s="17">
        <v>1</v>
      </c>
      <c r="T48" s="17">
        <v>1</v>
      </c>
      <c r="U48" s="17">
        <v>1</v>
      </c>
      <c r="V48" s="17">
        <v>2</v>
      </c>
      <c r="W48" s="17">
        <v>4</v>
      </c>
      <c r="X48" s="17">
        <v>7</v>
      </c>
      <c r="Y48" s="17">
        <v>20</v>
      </c>
      <c r="Z48" s="17">
        <v>23</v>
      </c>
      <c r="AA48" s="18">
        <v>30</v>
      </c>
    </row>
    <row r="49" spans="1:27" x14ac:dyDescent="0.3">
      <c r="A49" s="12">
        <v>246025673</v>
      </c>
      <c r="B49" s="14" t="s">
        <v>150</v>
      </c>
      <c r="C49" s="14" t="s">
        <v>47</v>
      </c>
      <c r="D49" s="14" t="s">
        <v>151</v>
      </c>
      <c r="E49" s="17">
        <v>211</v>
      </c>
      <c r="F49" s="17">
        <v>69</v>
      </c>
      <c r="G49" s="17">
        <v>78</v>
      </c>
      <c r="H49" s="17">
        <v>64</v>
      </c>
      <c r="I49" s="10">
        <v>211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1</v>
      </c>
      <c r="P49" s="17">
        <v>1</v>
      </c>
      <c r="Q49" s="10">
        <v>12</v>
      </c>
      <c r="R49" s="17">
        <v>20</v>
      </c>
      <c r="S49" s="17">
        <v>27</v>
      </c>
      <c r="T49" s="17">
        <v>31</v>
      </c>
      <c r="U49" s="17">
        <v>41</v>
      </c>
      <c r="V49" s="17">
        <v>50</v>
      </c>
      <c r="W49" s="17">
        <v>63</v>
      </c>
      <c r="X49" s="17">
        <v>80</v>
      </c>
      <c r="Y49" s="17">
        <v>90</v>
      </c>
      <c r="Z49" s="17">
        <v>101</v>
      </c>
      <c r="AA49" s="18">
        <v>117</v>
      </c>
    </row>
    <row r="50" spans="1:27" x14ac:dyDescent="0.3">
      <c r="A50" s="12">
        <v>246265379</v>
      </c>
      <c r="B50" s="14" t="s">
        <v>152</v>
      </c>
      <c r="C50" s="14" t="s">
        <v>47</v>
      </c>
      <c r="D50" s="14" t="s">
        <v>153</v>
      </c>
      <c r="E50" s="17">
        <v>52</v>
      </c>
      <c r="F50" s="17">
        <v>55</v>
      </c>
      <c r="G50" s="17">
        <v>52</v>
      </c>
      <c r="H50" s="17">
        <v>78</v>
      </c>
      <c r="I50" s="10">
        <v>185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1</v>
      </c>
      <c r="Q50" s="10">
        <v>5</v>
      </c>
      <c r="R50" s="17">
        <v>9</v>
      </c>
      <c r="S50" s="17">
        <v>10</v>
      </c>
      <c r="T50" s="17">
        <v>11</v>
      </c>
      <c r="U50" s="17">
        <v>14</v>
      </c>
      <c r="V50" s="17">
        <v>21</v>
      </c>
      <c r="W50" s="17">
        <v>32</v>
      </c>
      <c r="X50" s="17">
        <v>43</v>
      </c>
      <c r="Y50" s="17">
        <v>49</v>
      </c>
      <c r="Z50" s="17">
        <v>50</v>
      </c>
      <c r="AA50" s="18">
        <v>51</v>
      </c>
    </row>
    <row r="51" spans="1:27" x14ac:dyDescent="0.3">
      <c r="A51" s="12">
        <v>246270682</v>
      </c>
      <c r="B51" s="14" t="s">
        <v>154</v>
      </c>
      <c r="C51" s="14" t="s">
        <v>155</v>
      </c>
      <c r="D51" s="14" t="s">
        <v>156</v>
      </c>
      <c r="E51" s="17">
        <v>97</v>
      </c>
      <c r="F51" s="17">
        <v>55</v>
      </c>
      <c r="G51" s="17">
        <v>54</v>
      </c>
      <c r="H51" s="17">
        <v>67</v>
      </c>
      <c r="I51" s="10">
        <v>176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1</v>
      </c>
      <c r="Q51" s="10">
        <v>2</v>
      </c>
      <c r="R51" s="17">
        <v>2</v>
      </c>
      <c r="S51" s="17">
        <v>2</v>
      </c>
      <c r="T51" s="17">
        <v>2</v>
      </c>
      <c r="U51" s="17">
        <v>2</v>
      </c>
      <c r="V51" s="17">
        <v>6</v>
      </c>
      <c r="W51" s="17">
        <v>7</v>
      </c>
      <c r="X51" s="17">
        <v>11</v>
      </c>
      <c r="Y51" s="17">
        <v>18</v>
      </c>
      <c r="Z51" s="17">
        <v>28</v>
      </c>
      <c r="AA51" s="18">
        <v>41</v>
      </c>
    </row>
    <row r="52" spans="1:27" x14ac:dyDescent="0.3">
      <c r="A52" s="12">
        <v>246109042</v>
      </c>
      <c r="B52" s="14" t="s">
        <v>157</v>
      </c>
      <c r="C52" s="14" t="s">
        <v>47</v>
      </c>
      <c r="D52" s="14" t="s">
        <v>158</v>
      </c>
      <c r="E52" s="17">
        <v>44</v>
      </c>
      <c r="F52" s="17">
        <v>12</v>
      </c>
      <c r="G52" s="17">
        <v>23</v>
      </c>
      <c r="H52" s="17">
        <v>38</v>
      </c>
      <c r="I52" s="10">
        <v>73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0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  <c r="Y52" s="17">
        <v>2</v>
      </c>
      <c r="Z52" s="17">
        <v>9</v>
      </c>
      <c r="AA52" s="18">
        <v>16</v>
      </c>
    </row>
    <row r="53" spans="1:27" x14ac:dyDescent="0.3">
      <c r="A53" s="12">
        <v>246271501</v>
      </c>
      <c r="B53" s="14" t="s">
        <v>159</v>
      </c>
      <c r="C53" s="14" t="s">
        <v>47</v>
      </c>
      <c r="D53" s="14" t="s">
        <v>160</v>
      </c>
      <c r="E53" s="17">
        <v>24</v>
      </c>
      <c r="F53" s="17">
        <v>15</v>
      </c>
      <c r="G53" s="17">
        <v>26</v>
      </c>
      <c r="H53" s="17">
        <v>43</v>
      </c>
      <c r="I53" s="10">
        <v>84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0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1</v>
      </c>
      <c r="Y53" s="17">
        <v>5</v>
      </c>
      <c r="Z53" s="17">
        <v>9</v>
      </c>
      <c r="AA53" s="18">
        <v>14</v>
      </c>
    </row>
    <row r="54" spans="1:27" x14ac:dyDescent="0.3">
      <c r="A54" s="12">
        <v>246101552</v>
      </c>
      <c r="B54" s="14" t="s">
        <v>161</v>
      </c>
      <c r="C54" s="14" t="s">
        <v>162</v>
      </c>
      <c r="D54" s="14" t="s">
        <v>163</v>
      </c>
      <c r="E54" s="17">
        <v>46</v>
      </c>
      <c r="F54" s="17">
        <v>87</v>
      </c>
      <c r="G54" s="17">
        <v>42</v>
      </c>
      <c r="H54" s="17">
        <v>20</v>
      </c>
      <c r="I54" s="10">
        <v>149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0">
        <v>0</v>
      </c>
      <c r="R54" s="17">
        <v>1</v>
      </c>
      <c r="S54" s="17">
        <v>1</v>
      </c>
      <c r="T54" s="17">
        <v>1</v>
      </c>
      <c r="U54" s="17">
        <v>2</v>
      </c>
      <c r="V54" s="17">
        <v>2</v>
      </c>
      <c r="W54" s="17">
        <v>3</v>
      </c>
      <c r="X54" s="17">
        <v>6</v>
      </c>
      <c r="Y54" s="17">
        <v>11</v>
      </c>
      <c r="Z54" s="17">
        <v>19</v>
      </c>
      <c r="AA54" s="18">
        <v>24</v>
      </c>
    </row>
    <row r="55" spans="1:27" x14ac:dyDescent="0.3">
      <c r="A55" s="12">
        <v>246069808</v>
      </c>
      <c r="B55" s="14" t="s">
        <v>164</v>
      </c>
      <c r="C55" s="14" t="s">
        <v>165</v>
      </c>
      <c r="D55" s="14" t="s">
        <v>166</v>
      </c>
      <c r="E55" s="17">
        <v>61</v>
      </c>
      <c r="F55" s="17">
        <v>26</v>
      </c>
      <c r="G55" s="17">
        <v>36</v>
      </c>
      <c r="H55" s="17">
        <v>43</v>
      </c>
      <c r="I55" s="10">
        <v>105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0">
        <v>0</v>
      </c>
      <c r="R55" s="17">
        <v>0</v>
      </c>
      <c r="S55" s="17">
        <v>0</v>
      </c>
      <c r="T55" s="17">
        <v>0</v>
      </c>
      <c r="U55" s="17">
        <v>0</v>
      </c>
      <c r="V55" s="17">
        <v>1</v>
      </c>
      <c r="W55" s="17">
        <v>2</v>
      </c>
      <c r="X55" s="17">
        <v>13</v>
      </c>
      <c r="Y55" s="17">
        <v>27</v>
      </c>
      <c r="Z55" s="17">
        <v>40</v>
      </c>
      <c r="AA55" s="18">
        <v>51</v>
      </c>
    </row>
    <row r="56" spans="1:27" x14ac:dyDescent="0.3">
      <c r="A56" s="12">
        <v>246558158</v>
      </c>
      <c r="B56" s="14" t="s">
        <v>167</v>
      </c>
      <c r="C56" s="14" t="s">
        <v>47</v>
      </c>
      <c r="D56" s="14" t="s">
        <v>168</v>
      </c>
      <c r="E56" s="17">
        <v>27</v>
      </c>
      <c r="F56" s="17">
        <v>51</v>
      </c>
      <c r="G56" s="17">
        <v>31</v>
      </c>
      <c r="H56" s="17">
        <v>52</v>
      </c>
      <c r="I56" s="10">
        <v>134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0">
        <v>0</v>
      </c>
      <c r="R56" s="17">
        <v>0</v>
      </c>
      <c r="S56" s="17">
        <v>1</v>
      </c>
      <c r="T56" s="17">
        <v>1</v>
      </c>
      <c r="U56" s="17">
        <v>2</v>
      </c>
      <c r="V56" s="17">
        <v>2</v>
      </c>
      <c r="W56" s="17">
        <v>7</v>
      </c>
      <c r="X56" s="17">
        <v>12</v>
      </c>
      <c r="Y56" s="17">
        <v>13</v>
      </c>
      <c r="Z56" s="17">
        <v>20</v>
      </c>
      <c r="AA56" s="18">
        <v>22</v>
      </c>
    </row>
    <row r="57" spans="1:27" x14ac:dyDescent="0.3">
      <c r="A57" s="12">
        <v>257343211</v>
      </c>
      <c r="B57" s="14" t="s">
        <v>169</v>
      </c>
      <c r="C57" s="14" t="s">
        <v>47</v>
      </c>
      <c r="D57" s="14" t="s">
        <v>170</v>
      </c>
      <c r="E57" s="17">
        <v>22</v>
      </c>
      <c r="F57" s="17">
        <v>71</v>
      </c>
      <c r="G57" s="17">
        <v>66</v>
      </c>
      <c r="H57" s="17">
        <v>54</v>
      </c>
      <c r="I57" s="10">
        <v>191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1</v>
      </c>
      <c r="Q57" s="10">
        <v>3</v>
      </c>
      <c r="R57" s="17">
        <v>3</v>
      </c>
      <c r="S57" s="17">
        <v>7</v>
      </c>
      <c r="T57" s="17">
        <v>7</v>
      </c>
      <c r="U57" s="17">
        <v>11</v>
      </c>
      <c r="V57" s="17">
        <v>13</v>
      </c>
      <c r="W57" s="17">
        <v>17</v>
      </c>
      <c r="X57" s="17">
        <v>18</v>
      </c>
      <c r="Y57" s="17">
        <v>19</v>
      </c>
      <c r="Z57" s="17">
        <v>19</v>
      </c>
      <c r="AA57" s="18">
        <v>21</v>
      </c>
    </row>
    <row r="58" spans="1:27" x14ac:dyDescent="0.3">
      <c r="A58" s="12">
        <v>246547085</v>
      </c>
      <c r="B58" s="14" t="s">
        <v>171</v>
      </c>
      <c r="C58" s="14" t="s">
        <v>47</v>
      </c>
      <c r="D58" s="14" t="s">
        <v>172</v>
      </c>
      <c r="E58" s="17">
        <v>15</v>
      </c>
      <c r="F58" s="17">
        <v>25</v>
      </c>
      <c r="G58" s="17">
        <v>34</v>
      </c>
      <c r="H58" s="17">
        <v>61</v>
      </c>
      <c r="I58" s="10">
        <v>120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0">
        <v>0</v>
      </c>
      <c r="R58" s="17">
        <v>0</v>
      </c>
      <c r="S58" s="17">
        <v>0</v>
      </c>
      <c r="T58" s="17">
        <v>1</v>
      </c>
      <c r="U58" s="17">
        <v>1</v>
      </c>
      <c r="V58" s="17">
        <v>2</v>
      </c>
      <c r="W58" s="17">
        <v>3</v>
      </c>
      <c r="X58" s="17">
        <v>3</v>
      </c>
      <c r="Y58" s="17">
        <v>8</v>
      </c>
      <c r="Z58" s="17">
        <v>11</v>
      </c>
      <c r="AA58" s="18">
        <v>14</v>
      </c>
    </row>
    <row r="59" spans="1:27" x14ac:dyDescent="0.3">
      <c r="A59" s="12">
        <v>246295640</v>
      </c>
      <c r="B59" s="14" t="s">
        <v>173</v>
      </c>
      <c r="C59" s="14" t="s">
        <v>174</v>
      </c>
      <c r="D59" s="14" t="s">
        <v>175</v>
      </c>
      <c r="E59" s="17">
        <v>123</v>
      </c>
      <c r="F59" s="17">
        <v>38</v>
      </c>
      <c r="G59" s="17">
        <v>27</v>
      </c>
      <c r="H59" s="17">
        <v>70</v>
      </c>
      <c r="I59" s="10">
        <v>135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0">
        <v>0</v>
      </c>
      <c r="R59" s="17">
        <v>1</v>
      </c>
      <c r="S59" s="17">
        <v>3</v>
      </c>
      <c r="T59" s="17">
        <v>3</v>
      </c>
      <c r="U59" s="17">
        <v>5</v>
      </c>
      <c r="V59" s="17">
        <v>8</v>
      </c>
      <c r="W59" s="17">
        <v>10</v>
      </c>
      <c r="X59" s="17">
        <v>17</v>
      </c>
      <c r="Y59" s="17">
        <v>25</v>
      </c>
      <c r="Z59" s="17">
        <v>38</v>
      </c>
      <c r="AA59" s="18">
        <v>50</v>
      </c>
    </row>
    <row r="60" spans="1:27" x14ac:dyDescent="0.3">
      <c r="A60" s="12">
        <v>246162388</v>
      </c>
      <c r="B60" s="14" t="s">
        <v>176</v>
      </c>
      <c r="C60" s="14" t="s">
        <v>47</v>
      </c>
      <c r="D60" s="14" t="s">
        <v>177</v>
      </c>
      <c r="E60" s="17">
        <v>55</v>
      </c>
      <c r="F60" s="17">
        <v>44</v>
      </c>
      <c r="G60" s="17">
        <v>48</v>
      </c>
      <c r="H60" s="17">
        <v>28</v>
      </c>
      <c r="I60" s="10">
        <v>120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0">
        <v>0</v>
      </c>
      <c r="R60" s="17">
        <v>0</v>
      </c>
      <c r="S60" s="17">
        <v>0</v>
      </c>
      <c r="T60" s="17">
        <v>1</v>
      </c>
      <c r="U60" s="17">
        <v>1</v>
      </c>
      <c r="V60" s="17">
        <v>2</v>
      </c>
      <c r="W60" s="17">
        <v>2</v>
      </c>
      <c r="X60" s="17">
        <v>2</v>
      </c>
      <c r="Y60" s="17">
        <v>2</v>
      </c>
      <c r="Z60" s="17">
        <v>4</v>
      </c>
      <c r="AA60" s="18">
        <v>11</v>
      </c>
    </row>
    <row r="61" spans="1:27" x14ac:dyDescent="0.3">
      <c r="A61" s="12">
        <v>246178928</v>
      </c>
      <c r="B61" s="14" t="s">
        <v>178</v>
      </c>
      <c r="C61" s="14" t="s">
        <v>47</v>
      </c>
      <c r="D61" s="14" t="s">
        <v>179</v>
      </c>
      <c r="E61" s="17">
        <v>31</v>
      </c>
      <c r="F61" s="17">
        <v>36</v>
      </c>
      <c r="G61" s="17">
        <v>26</v>
      </c>
      <c r="H61" s="17">
        <v>56</v>
      </c>
      <c r="I61" s="10">
        <v>118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0">
        <v>0</v>
      </c>
      <c r="R61" s="17">
        <v>0</v>
      </c>
      <c r="S61" s="17">
        <v>0</v>
      </c>
      <c r="T61" s="17">
        <v>0</v>
      </c>
      <c r="U61" s="17">
        <v>1</v>
      </c>
      <c r="V61" s="17">
        <v>1</v>
      </c>
      <c r="W61" s="17">
        <v>2</v>
      </c>
      <c r="X61" s="17">
        <v>5</v>
      </c>
      <c r="Y61" s="17">
        <v>7</v>
      </c>
      <c r="Z61" s="17">
        <v>7</v>
      </c>
      <c r="AA61" s="18">
        <v>10</v>
      </c>
    </row>
    <row r="62" spans="1:27" x14ac:dyDescent="0.3">
      <c r="A62" s="12">
        <v>246301246</v>
      </c>
      <c r="B62" s="14" t="s">
        <v>180</v>
      </c>
      <c r="C62" s="14" t="s">
        <v>181</v>
      </c>
      <c r="D62" s="14" t="s">
        <v>182</v>
      </c>
      <c r="E62" s="17">
        <v>100</v>
      </c>
      <c r="F62" s="17">
        <v>92</v>
      </c>
      <c r="G62" s="17">
        <v>58</v>
      </c>
      <c r="H62" s="17">
        <v>74</v>
      </c>
      <c r="I62" s="10">
        <v>224</v>
      </c>
      <c r="J62" s="17">
        <v>0</v>
      </c>
      <c r="K62" s="17">
        <v>0</v>
      </c>
      <c r="L62" s="17">
        <v>0</v>
      </c>
      <c r="M62" s="17">
        <v>0</v>
      </c>
      <c r="N62" s="17">
        <v>1</v>
      </c>
      <c r="O62" s="17">
        <v>1</v>
      </c>
      <c r="P62" s="17">
        <v>1</v>
      </c>
      <c r="Q62" s="10">
        <v>2</v>
      </c>
      <c r="R62" s="17">
        <v>5</v>
      </c>
      <c r="S62" s="17">
        <v>12</v>
      </c>
      <c r="T62" s="17">
        <v>12</v>
      </c>
      <c r="U62" s="17">
        <v>17</v>
      </c>
      <c r="V62" s="17">
        <v>26</v>
      </c>
      <c r="W62" s="17">
        <v>37</v>
      </c>
      <c r="X62" s="17">
        <v>53</v>
      </c>
      <c r="Y62" s="17">
        <v>65</v>
      </c>
      <c r="Z62" s="17">
        <v>75</v>
      </c>
      <c r="AA62" s="18">
        <v>85</v>
      </c>
    </row>
    <row r="63" spans="1:27" x14ac:dyDescent="0.3">
      <c r="A63" s="12">
        <v>246301506</v>
      </c>
      <c r="B63" s="14" t="s">
        <v>183</v>
      </c>
      <c r="C63" s="14" t="s">
        <v>184</v>
      </c>
      <c r="D63" s="14" t="s">
        <v>185</v>
      </c>
      <c r="E63" s="17">
        <v>19</v>
      </c>
      <c r="F63" s="17">
        <v>44</v>
      </c>
      <c r="G63" s="17">
        <v>44</v>
      </c>
      <c r="H63" s="17">
        <v>61</v>
      </c>
      <c r="I63" s="10">
        <v>149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0">
        <v>0</v>
      </c>
      <c r="R63" s="17">
        <v>3</v>
      </c>
      <c r="S63" s="17">
        <v>3</v>
      </c>
      <c r="T63" s="17">
        <v>3</v>
      </c>
      <c r="U63" s="17">
        <v>5</v>
      </c>
      <c r="V63" s="17">
        <v>6</v>
      </c>
      <c r="W63" s="17">
        <v>6</v>
      </c>
      <c r="X63" s="17">
        <v>9</v>
      </c>
      <c r="Y63" s="17">
        <v>10</v>
      </c>
      <c r="Z63" s="17">
        <v>13</v>
      </c>
      <c r="AA63" s="18">
        <v>16</v>
      </c>
    </row>
    <row r="64" spans="1:27" x14ac:dyDescent="0.3">
      <c r="A64" s="12">
        <v>246301124</v>
      </c>
      <c r="B64" s="14" t="s">
        <v>186</v>
      </c>
      <c r="C64" s="14" t="s">
        <v>187</v>
      </c>
      <c r="D64" s="14" t="s">
        <v>188</v>
      </c>
      <c r="E64" s="17">
        <v>52</v>
      </c>
      <c r="F64" s="17">
        <v>44</v>
      </c>
      <c r="G64" s="17">
        <v>38</v>
      </c>
      <c r="H64" s="17">
        <v>57</v>
      </c>
      <c r="I64" s="10">
        <v>139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0">
        <v>0</v>
      </c>
      <c r="R64" s="17">
        <v>1</v>
      </c>
      <c r="S64" s="17">
        <v>1</v>
      </c>
      <c r="T64" s="17">
        <v>1</v>
      </c>
      <c r="U64" s="17">
        <v>2</v>
      </c>
      <c r="V64" s="17">
        <v>3</v>
      </c>
      <c r="W64" s="17">
        <v>6</v>
      </c>
      <c r="X64" s="17">
        <v>12</v>
      </c>
      <c r="Y64" s="17">
        <v>14</v>
      </c>
      <c r="Z64" s="17">
        <v>22</v>
      </c>
      <c r="AA64" s="18">
        <v>27</v>
      </c>
    </row>
    <row r="65" spans="1:27" x14ac:dyDescent="0.3">
      <c r="A65" s="12">
        <v>246301027</v>
      </c>
      <c r="B65" s="14" t="s">
        <v>189</v>
      </c>
      <c r="C65" s="14" t="s">
        <v>190</v>
      </c>
      <c r="D65" s="14" t="s">
        <v>191</v>
      </c>
      <c r="E65" s="17">
        <v>178</v>
      </c>
      <c r="F65" s="17">
        <v>68</v>
      </c>
      <c r="G65" s="17">
        <v>63</v>
      </c>
      <c r="H65" s="17">
        <v>64</v>
      </c>
      <c r="I65" s="10">
        <v>195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2</v>
      </c>
      <c r="Q65" s="10">
        <v>4</v>
      </c>
      <c r="R65" s="17">
        <v>11</v>
      </c>
      <c r="S65" s="17">
        <v>14</v>
      </c>
      <c r="T65" s="17">
        <v>19</v>
      </c>
      <c r="U65" s="17">
        <v>29</v>
      </c>
      <c r="V65" s="17">
        <v>37</v>
      </c>
      <c r="W65" s="17">
        <v>44</v>
      </c>
      <c r="X65" s="17">
        <v>56</v>
      </c>
      <c r="Y65" s="17">
        <v>78</v>
      </c>
      <c r="Z65" s="17">
        <v>97</v>
      </c>
      <c r="AA65" s="18">
        <v>124</v>
      </c>
    </row>
    <row r="66" spans="1:27" x14ac:dyDescent="0.3">
      <c r="A66" s="12">
        <v>246301414</v>
      </c>
      <c r="B66" s="14" t="s">
        <v>192</v>
      </c>
      <c r="C66" s="14" t="s">
        <v>193</v>
      </c>
      <c r="D66" s="14" t="s">
        <v>194</v>
      </c>
      <c r="E66" s="17">
        <v>77</v>
      </c>
      <c r="F66" s="17">
        <v>82</v>
      </c>
      <c r="G66" s="17">
        <v>46</v>
      </c>
      <c r="H66" s="17">
        <v>85</v>
      </c>
      <c r="I66" s="10">
        <v>213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2</v>
      </c>
      <c r="P66" s="17">
        <v>5</v>
      </c>
      <c r="Q66" s="10">
        <v>10</v>
      </c>
      <c r="R66" s="17">
        <v>14</v>
      </c>
      <c r="S66" s="17">
        <v>19</v>
      </c>
      <c r="T66" s="17">
        <v>21</v>
      </c>
      <c r="U66" s="17">
        <v>28</v>
      </c>
      <c r="V66" s="17">
        <v>36</v>
      </c>
      <c r="W66" s="17">
        <v>40</v>
      </c>
      <c r="X66" s="17">
        <v>44</v>
      </c>
      <c r="Y66" s="17">
        <v>49</v>
      </c>
      <c r="Z66" s="17">
        <v>57</v>
      </c>
      <c r="AA66" s="18">
        <v>67</v>
      </c>
    </row>
    <row r="67" spans="1:27" x14ac:dyDescent="0.3">
      <c r="A67" s="12">
        <v>246207572</v>
      </c>
      <c r="B67" s="14" t="s">
        <v>195</v>
      </c>
      <c r="C67" s="14" t="s">
        <v>47</v>
      </c>
      <c r="D67" s="14" t="s">
        <v>196</v>
      </c>
      <c r="E67" s="17">
        <v>29</v>
      </c>
      <c r="F67" s="17">
        <v>14</v>
      </c>
      <c r="G67" s="17">
        <v>0</v>
      </c>
      <c r="H67" s="17">
        <v>19</v>
      </c>
      <c r="I67" s="10">
        <v>33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0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8">
        <v>0</v>
      </c>
    </row>
    <row r="68" spans="1:27" x14ac:dyDescent="0.3">
      <c r="A68" s="12">
        <v>246105904</v>
      </c>
      <c r="B68" s="14" t="s">
        <v>197</v>
      </c>
      <c r="C68" s="14" t="s">
        <v>141</v>
      </c>
      <c r="D68" s="14" t="s">
        <v>198</v>
      </c>
      <c r="E68" s="17">
        <v>29</v>
      </c>
      <c r="F68" s="17">
        <v>16</v>
      </c>
      <c r="G68" s="17">
        <v>40</v>
      </c>
      <c r="H68" s="17">
        <v>45</v>
      </c>
      <c r="I68" s="10">
        <v>101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0">
        <v>0</v>
      </c>
      <c r="R68" s="17">
        <v>0</v>
      </c>
      <c r="S68" s="17">
        <v>0</v>
      </c>
      <c r="T68" s="17">
        <v>0</v>
      </c>
      <c r="U68" s="17">
        <v>0</v>
      </c>
      <c r="V68" s="17">
        <v>1</v>
      </c>
      <c r="W68" s="17">
        <v>2</v>
      </c>
      <c r="X68" s="17">
        <v>4</v>
      </c>
      <c r="Y68" s="17">
        <v>5</v>
      </c>
      <c r="Z68" s="17">
        <v>9</v>
      </c>
      <c r="AA68" s="18">
        <v>13</v>
      </c>
    </row>
    <row r="69" spans="1:27" x14ac:dyDescent="0.3">
      <c r="A69" s="12">
        <v>246551530</v>
      </c>
      <c r="B69" s="14" t="s">
        <v>199</v>
      </c>
      <c r="C69" s="14" t="s">
        <v>47</v>
      </c>
      <c r="D69" s="14" t="s">
        <v>200</v>
      </c>
      <c r="E69" s="17">
        <v>36</v>
      </c>
      <c r="F69" s="17">
        <v>36</v>
      </c>
      <c r="G69" s="17">
        <v>39</v>
      </c>
      <c r="H69" s="17">
        <v>40</v>
      </c>
      <c r="I69" s="10">
        <v>115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0">
        <v>0</v>
      </c>
      <c r="R69" s="17">
        <v>0</v>
      </c>
      <c r="S69" s="17">
        <v>0</v>
      </c>
      <c r="T69" s="17">
        <v>0</v>
      </c>
      <c r="U69" s="17">
        <v>2</v>
      </c>
      <c r="V69" s="17">
        <v>5</v>
      </c>
      <c r="W69" s="17">
        <v>8</v>
      </c>
      <c r="X69" s="17">
        <v>11</v>
      </c>
      <c r="Y69" s="17">
        <v>14</v>
      </c>
      <c r="Z69" s="17">
        <v>21</v>
      </c>
      <c r="AA69" s="18">
        <v>22</v>
      </c>
    </row>
    <row r="70" spans="1:27" x14ac:dyDescent="0.3">
      <c r="A70" s="12">
        <v>246007849</v>
      </c>
      <c r="B70" s="14" t="s">
        <v>201</v>
      </c>
      <c r="C70" s="14" t="s">
        <v>47</v>
      </c>
      <c r="D70" s="14" t="s">
        <v>202</v>
      </c>
      <c r="E70" s="17">
        <v>578</v>
      </c>
      <c r="F70" s="17">
        <v>58</v>
      </c>
      <c r="G70" s="17">
        <v>34</v>
      </c>
      <c r="H70" s="17">
        <v>79</v>
      </c>
      <c r="I70" s="10">
        <v>171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0">
        <v>17</v>
      </c>
      <c r="R70" s="17">
        <v>32</v>
      </c>
      <c r="S70" s="17">
        <v>51</v>
      </c>
      <c r="T70" s="17">
        <v>55</v>
      </c>
      <c r="U70" s="17">
        <v>75</v>
      </c>
      <c r="V70" s="17">
        <v>98</v>
      </c>
      <c r="W70" s="17">
        <v>134</v>
      </c>
      <c r="X70" s="17">
        <v>208</v>
      </c>
      <c r="Y70" s="17">
        <v>298</v>
      </c>
      <c r="Z70" s="17">
        <v>397</v>
      </c>
      <c r="AA70" s="18">
        <v>487</v>
      </c>
    </row>
    <row r="71" spans="1:27" x14ac:dyDescent="0.3">
      <c r="A71" s="12">
        <v>246004244</v>
      </c>
      <c r="B71" s="14" t="s">
        <v>203</v>
      </c>
      <c r="C71" s="14" t="s">
        <v>204</v>
      </c>
      <c r="D71" s="14" t="s">
        <v>205</v>
      </c>
      <c r="E71" s="17">
        <v>291</v>
      </c>
      <c r="F71" s="17">
        <v>70</v>
      </c>
      <c r="G71" s="17">
        <v>43</v>
      </c>
      <c r="H71" s="17">
        <v>66</v>
      </c>
      <c r="I71" s="10">
        <v>179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3</v>
      </c>
      <c r="Q71" s="10">
        <v>36</v>
      </c>
      <c r="R71" s="17">
        <v>69</v>
      </c>
      <c r="S71" s="17">
        <v>100</v>
      </c>
      <c r="T71" s="17">
        <v>118</v>
      </c>
      <c r="U71" s="17">
        <v>156</v>
      </c>
      <c r="V71" s="17">
        <v>183</v>
      </c>
      <c r="W71" s="17">
        <v>201</v>
      </c>
      <c r="X71" s="17">
        <v>218</v>
      </c>
      <c r="Y71" s="17">
        <v>236</v>
      </c>
      <c r="Z71" s="17">
        <v>252</v>
      </c>
      <c r="AA71" s="18">
        <v>265</v>
      </c>
    </row>
    <row r="72" spans="1:27" x14ac:dyDescent="0.3">
      <c r="A72" s="12">
        <v>246155851</v>
      </c>
      <c r="B72" s="14" t="s">
        <v>206</v>
      </c>
      <c r="C72" s="14" t="s">
        <v>207</v>
      </c>
      <c r="D72" s="14" t="s">
        <v>208</v>
      </c>
      <c r="E72" s="17">
        <v>370</v>
      </c>
      <c r="F72" s="17">
        <v>51</v>
      </c>
      <c r="G72" s="17">
        <v>30</v>
      </c>
      <c r="H72" s="17">
        <v>77</v>
      </c>
      <c r="I72" s="10">
        <v>158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0">
        <v>1</v>
      </c>
      <c r="R72" s="17">
        <v>2</v>
      </c>
      <c r="S72" s="17">
        <v>2</v>
      </c>
      <c r="T72" s="17">
        <v>3</v>
      </c>
      <c r="U72" s="17">
        <v>3</v>
      </c>
      <c r="V72" s="17">
        <v>10</v>
      </c>
      <c r="W72" s="17">
        <v>23</v>
      </c>
      <c r="X72" s="17">
        <v>60</v>
      </c>
      <c r="Y72" s="17">
        <v>90</v>
      </c>
      <c r="Z72" s="17">
        <v>137</v>
      </c>
      <c r="AA72" s="18">
        <v>191</v>
      </c>
    </row>
    <row r="73" spans="1:27" x14ac:dyDescent="0.3">
      <c r="A73" s="12">
        <v>246038420</v>
      </c>
      <c r="B73" s="14" t="s">
        <v>209</v>
      </c>
      <c r="C73" s="14" t="s">
        <v>210</v>
      </c>
      <c r="D73" s="14" t="s">
        <v>211</v>
      </c>
      <c r="E73" s="17">
        <v>206</v>
      </c>
      <c r="F73" s="17">
        <v>23</v>
      </c>
      <c r="G73" s="17">
        <v>43</v>
      </c>
      <c r="H73" s="17">
        <v>70</v>
      </c>
      <c r="I73" s="10">
        <v>136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0">
        <v>0</v>
      </c>
      <c r="R73" s="17">
        <v>1</v>
      </c>
      <c r="S73" s="17">
        <v>1</v>
      </c>
      <c r="T73" s="17">
        <v>2</v>
      </c>
      <c r="U73" s="17">
        <v>3</v>
      </c>
      <c r="V73" s="17">
        <v>5</v>
      </c>
      <c r="W73" s="17">
        <v>8</v>
      </c>
      <c r="X73" s="17">
        <v>15</v>
      </c>
      <c r="Y73" s="17">
        <v>24</v>
      </c>
      <c r="Z73" s="17">
        <v>40</v>
      </c>
      <c r="AA73" s="18">
        <v>62</v>
      </c>
    </row>
    <row r="74" spans="1:27" x14ac:dyDescent="0.3">
      <c r="A74" s="12">
        <v>246134564</v>
      </c>
      <c r="B74" s="14" t="s">
        <v>212</v>
      </c>
      <c r="C74" s="14" t="s">
        <v>213</v>
      </c>
      <c r="D74" s="14" t="s">
        <v>214</v>
      </c>
      <c r="E74" s="17">
        <v>333</v>
      </c>
      <c r="F74" s="17">
        <v>50</v>
      </c>
      <c r="G74" s="17">
        <v>50</v>
      </c>
      <c r="H74" s="17">
        <v>90</v>
      </c>
      <c r="I74" s="10">
        <v>190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4</v>
      </c>
      <c r="Q74" s="10">
        <v>11</v>
      </c>
      <c r="R74" s="17">
        <v>31</v>
      </c>
      <c r="S74" s="17">
        <v>56</v>
      </c>
      <c r="T74" s="17">
        <v>73</v>
      </c>
      <c r="U74" s="17">
        <v>109</v>
      </c>
      <c r="V74" s="17">
        <v>146</v>
      </c>
      <c r="W74" s="17">
        <v>192</v>
      </c>
      <c r="X74" s="17">
        <v>242</v>
      </c>
      <c r="Y74" s="17">
        <v>274</v>
      </c>
      <c r="Z74" s="17">
        <v>299</v>
      </c>
      <c r="AA74" s="18">
        <v>314</v>
      </c>
    </row>
    <row r="75" spans="1:27" x14ac:dyDescent="0.3">
      <c r="A75" s="12">
        <v>246004860</v>
      </c>
      <c r="B75" s="14" t="s">
        <v>215</v>
      </c>
      <c r="C75" s="14" t="s">
        <v>216</v>
      </c>
      <c r="D75" s="14" t="s">
        <v>217</v>
      </c>
      <c r="E75" s="17">
        <v>38</v>
      </c>
      <c r="F75" s="17">
        <v>52</v>
      </c>
      <c r="G75" s="17">
        <v>48</v>
      </c>
      <c r="H75" s="17">
        <v>48</v>
      </c>
      <c r="I75" s="10">
        <v>148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0">
        <v>0</v>
      </c>
      <c r="R75" s="17">
        <v>4</v>
      </c>
      <c r="S75" s="17">
        <v>4</v>
      </c>
      <c r="T75" s="17">
        <v>4</v>
      </c>
      <c r="U75" s="17">
        <v>7</v>
      </c>
      <c r="V75" s="17">
        <v>8</v>
      </c>
      <c r="W75" s="17">
        <v>14</v>
      </c>
      <c r="X75" s="17">
        <v>16</v>
      </c>
      <c r="Y75" s="17">
        <v>23</v>
      </c>
      <c r="Z75" s="17">
        <v>28</v>
      </c>
      <c r="AA75" s="18">
        <v>33</v>
      </c>
    </row>
    <row r="76" spans="1:27" x14ac:dyDescent="0.3">
      <c r="A76" s="12">
        <v>246300764</v>
      </c>
      <c r="B76" s="14" t="s">
        <v>218</v>
      </c>
      <c r="C76" s="14" t="s">
        <v>47</v>
      </c>
      <c r="D76" s="14" t="s">
        <v>219</v>
      </c>
      <c r="E76" s="17">
        <v>36</v>
      </c>
      <c r="F76" s="17">
        <v>21</v>
      </c>
      <c r="G76" s="17">
        <v>30</v>
      </c>
      <c r="H76" s="17">
        <v>60</v>
      </c>
      <c r="I76" s="10">
        <v>111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0">
        <v>0</v>
      </c>
      <c r="R76" s="17">
        <v>0</v>
      </c>
      <c r="S76" s="17">
        <v>0</v>
      </c>
      <c r="T76" s="17">
        <v>0</v>
      </c>
      <c r="U76" s="17">
        <v>1</v>
      </c>
      <c r="V76" s="17">
        <v>1</v>
      </c>
      <c r="W76" s="17">
        <v>3</v>
      </c>
      <c r="X76" s="17">
        <v>4</v>
      </c>
      <c r="Y76" s="17">
        <v>5</v>
      </c>
      <c r="Z76" s="17">
        <v>7</v>
      </c>
      <c r="AA76" s="18">
        <v>13</v>
      </c>
    </row>
    <row r="77" spans="1:27" x14ac:dyDescent="0.3">
      <c r="A77" s="12">
        <v>246131851</v>
      </c>
      <c r="B77" s="14" t="s">
        <v>220</v>
      </c>
      <c r="C77" s="14" t="s">
        <v>221</v>
      </c>
      <c r="D77" s="14" t="s">
        <v>222</v>
      </c>
      <c r="E77" s="17">
        <v>52</v>
      </c>
      <c r="F77" s="17">
        <v>55</v>
      </c>
      <c r="G77" s="17">
        <v>42</v>
      </c>
      <c r="H77" s="17">
        <v>58</v>
      </c>
      <c r="I77" s="10">
        <v>155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0">
        <v>1</v>
      </c>
      <c r="R77" s="17">
        <v>1</v>
      </c>
      <c r="S77" s="17">
        <v>2</v>
      </c>
      <c r="T77" s="17">
        <v>3</v>
      </c>
      <c r="U77" s="17">
        <v>3</v>
      </c>
      <c r="V77" s="17">
        <v>8</v>
      </c>
      <c r="W77" s="17">
        <v>11</v>
      </c>
      <c r="X77" s="17">
        <v>23</v>
      </c>
      <c r="Y77" s="17">
        <v>33</v>
      </c>
      <c r="Z77" s="17">
        <v>40</v>
      </c>
      <c r="AA77" s="18">
        <v>45</v>
      </c>
    </row>
    <row r="78" spans="1:27" x14ac:dyDescent="0.3">
      <c r="A78" s="12">
        <v>246134655</v>
      </c>
      <c r="B78" s="14" t="s">
        <v>223</v>
      </c>
      <c r="C78" s="14" t="s">
        <v>47</v>
      </c>
      <c r="D78" s="14" t="s">
        <v>224</v>
      </c>
      <c r="E78" s="17">
        <v>155</v>
      </c>
      <c r="F78" s="17">
        <v>48</v>
      </c>
      <c r="G78" s="17">
        <v>38</v>
      </c>
      <c r="H78" s="17">
        <v>51</v>
      </c>
      <c r="I78" s="10">
        <v>137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0">
        <v>0</v>
      </c>
      <c r="R78" s="17">
        <v>1</v>
      </c>
      <c r="S78" s="17">
        <v>4</v>
      </c>
      <c r="T78" s="17">
        <v>4</v>
      </c>
      <c r="U78" s="17">
        <v>7</v>
      </c>
      <c r="V78" s="17">
        <v>11</v>
      </c>
      <c r="W78" s="17">
        <v>18</v>
      </c>
      <c r="X78" s="17">
        <v>24</v>
      </c>
      <c r="Y78" s="17">
        <v>37</v>
      </c>
      <c r="Z78" s="17">
        <v>46</v>
      </c>
      <c r="AA78" s="18">
        <v>55</v>
      </c>
    </row>
    <row r="79" spans="1:27" x14ac:dyDescent="0.3">
      <c r="A79" s="12">
        <v>246113672</v>
      </c>
      <c r="B79" s="14" t="s">
        <v>225</v>
      </c>
      <c r="C79" s="14" t="s">
        <v>47</v>
      </c>
      <c r="D79" s="14" t="s">
        <v>226</v>
      </c>
      <c r="E79" s="17">
        <v>171</v>
      </c>
      <c r="F79" s="17">
        <v>62</v>
      </c>
      <c r="G79" s="17">
        <v>34</v>
      </c>
      <c r="H79" s="17">
        <v>52</v>
      </c>
      <c r="I79" s="10">
        <v>148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0">
        <v>0</v>
      </c>
      <c r="R79" s="17">
        <v>3</v>
      </c>
      <c r="S79" s="17">
        <v>4</v>
      </c>
      <c r="T79" s="17">
        <v>4</v>
      </c>
      <c r="U79" s="17">
        <v>4</v>
      </c>
      <c r="V79" s="17">
        <v>5</v>
      </c>
      <c r="W79" s="17">
        <v>5</v>
      </c>
      <c r="X79" s="17">
        <v>6</v>
      </c>
      <c r="Y79" s="17">
        <v>16</v>
      </c>
      <c r="Z79" s="17">
        <v>33</v>
      </c>
      <c r="AA79" s="18">
        <v>64</v>
      </c>
    </row>
    <row r="80" spans="1:27" x14ac:dyDescent="0.3">
      <c r="A80" s="12">
        <v>246300514</v>
      </c>
      <c r="B80" s="14" t="s">
        <v>227</v>
      </c>
      <c r="C80" s="14" t="s">
        <v>213</v>
      </c>
      <c r="D80" s="14" t="s">
        <v>228</v>
      </c>
      <c r="E80" s="17">
        <v>113</v>
      </c>
      <c r="F80" s="17">
        <v>36</v>
      </c>
      <c r="G80" s="17">
        <v>47</v>
      </c>
      <c r="H80" s="17">
        <v>69</v>
      </c>
      <c r="I80" s="10">
        <v>152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0">
        <v>2</v>
      </c>
      <c r="R80" s="17">
        <v>8</v>
      </c>
      <c r="S80" s="17">
        <v>12</v>
      </c>
      <c r="T80" s="17">
        <v>16</v>
      </c>
      <c r="U80" s="17">
        <v>28</v>
      </c>
      <c r="V80" s="17">
        <v>48</v>
      </c>
      <c r="W80" s="17">
        <v>71</v>
      </c>
      <c r="X80" s="17">
        <v>87</v>
      </c>
      <c r="Y80" s="17">
        <v>99</v>
      </c>
      <c r="Z80" s="17">
        <v>107</v>
      </c>
      <c r="AA80" s="18">
        <v>110</v>
      </c>
    </row>
    <row r="81" spans="1:27" x14ac:dyDescent="0.3">
      <c r="A81" s="12">
        <v>246290624</v>
      </c>
      <c r="B81" s="14" t="s">
        <v>229</v>
      </c>
      <c r="C81" s="14" t="s">
        <v>47</v>
      </c>
      <c r="D81" s="14" t="s">
        <v>230</v>
      </c>
      <c r="E81" s="17">
        <v>8</v>
      </c>
      <c r="F81" s="17">
        <v>51</v>
      </c>
      <c r="G81" s="17">
        <v>55</v>
      </c>
      <c r="H81" s="17">
        <v>36</v>
      </c>
      <c r="I81" s="10">
        <v>142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0">
        <v>0</v>
      </c>
      <c r="R81" s="17">
        <v>2</v>
      </c>
      <c r="S81" s="17">
        <v>2</v>
      </c>
      <c r="T81" s="17">
        <v>3</v>
      </c>
      <c r="U81" s="17">
        <v>3</v>
      </c>
      <c r="V81" s="17">
        <v>5</v>
      </c>
      <c r="W81" s="17">
        <v>5</v>
      </c>
      <c r="X81" s="17">
        <v>5</v>
      </c>
      <c r="Y81" s="17">
        <v>5</v>
      </c>
      <c r="Z81" s="17">
        <v>6</v>
      </c>
      <c r="AA81" s="18">
        <v>6</v>
      </c>
    </row>
    <row r="82" spans="1:27" x14ac:dyDescent="0.3">
      <c r="A82" s="12">
        <v>246133135</v>
      </c>
      <c r="B82" s="14" t="s">
        <v>231</v>
      </c>
      <c r="C82" s="14" t="s">
        <v>232</v>
      </c>
      <c r="D82" s="14" t="s">
        <v>233</v>
      </c>
      <c r="E82" s="17">
        <v>248</v>
      </c>
      <c r="F82" s="17">
        <v>51</v>
      </c>
      <c r="G82" s="17">
        <v>55</v>
      </c>
      <c r="H82" s="17">
        <v>67</v>
      </c>
      <c r="I82" s="10">
        <v>173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0">
        <v>6</v>
      </c>
      <c r="R82" s="17">
        <v>12</v>
      </c>
      <c r="S82" s="17">
        <v>17</v>
      </c>
      <c r="T82" s="17">
        <v>21</v>
      </c>
      <c r="U82" s="17">
        <v>32</v>
      </c>
      <c r="V82" s="17">
        <v>52</v>
      </c>
      <c r="W82" s="17">
        <v>70</v>
      </c>
      <c r="X82" s="17">
        <v>89</v>
      </c>
      <c r="Y82" s="17">
        <v>117</v>
      </c>
      <c r="Z82" s="17">
        <v>150</v>
      </c>
      <c r="AA82" s="18">
        <v>181</v>
      </c>
    </row>
  </sheetData>
  <sortState xmlns:xlrd2="http://schemas.microsoft.com/office/spreadsheetml/2017/richdata2" ref="A3:AA4">
    <sortCondition descending="1" ref="I3:I4"/>
  </sortState>
  <conditionalFormatting sqref="A3:H82">
    <cfRule type="expression" dxfId="3" priority="1">
      <formula>MOD(ROW(),2)=1</formula>
    </cfRule>
  </conditionalFormatting>
  <conditionalFormatting sqref="J3:P82 R3:AA82">
    <cfRule type="expression" dxfId="2" priority="2">
      <formula>MOD(ROW(),2)=1</formula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F83"/>
  <sheetViews>
    <sheetView showGridLines="0" zoomScale="95" zoomScaleNormal="95" workbookViewId="0">
      <selection sqref="A1:F1"/>
    </sheetView>
  </sheetViews>
  <sheetFormatPr defaultColWidth="12.7109375" defaultRowHeight="20.100000000000001" customHeight="1" x14ac:dyDescent="0.25"/>
  <cols>
    <col min="1" max="1" width="43.42578125" style="6" bestFit="1" customWidth="1"/>
    <col min="2" max="2" width="15.85546875" style="5" customWidth="1"/>
    <col min="3" max="3" width="17.42578125" style="5" customWidth="1"/>
    <col min="4" max="4" width="20.5703125" style="5" customWidth="1"/>
    <col min="5" max="5" width="15" style="5" customWidth="1"/>
    <col min="6" max="6" width="14.85546875" style="5" customWidth="1"/>
    <col min="7" max="16384" width="12.7109375" style="5"/>
  </cols>
  <sheetData>
    <row r="1" spans="1:6" ht="26.25" customHeight="1" thickBot="1" x14ac:dyDescent="0.3">
      <c r="A1" s="49" t="s">
        <v>44</v>
      </c>
      <c r="B1" s="50"/>
      <c r="C1" s="50"/>
      <c r="D1" s="50"/>
      <c r="E1" s="50"/>
      <c r="F1" s="51"/>
    </row>
    <row r="2" spans="1:6" ht="20.100000000000001" customHeight="1" thickBot="1" x14ac:dyDescent="0.3">
      <c r="A2" s="19" t="s">
        <v>3</v>
      </c>
      <c r="B2" s="20" t="s">
        <v>9</v>
      </c>
      <c r="C2" s="20" t="s">
        <v>10</v>
      </c>
      <c r="D2" s="20" t="s">
        <v>11</v>
      </c>
      <c r="E2" s="20" t="s">
        <v>12</v>
      </c>
      <c r="F2" s="21" t="s">
        <v>13</v>
      </c>
    </row>
    <row r="3" spans="1:6" ht="20.100000000000001" customHeight="1" x14ac:dyDescent="0.25">
      <c r="A3" s="22" t="s">
        <v>48</v>
      </c>
      <c r="B3" s="23">
        <v>23.033333333333299</v>
      </c>
      <c r="C3" s="23">
        <v>9.8333333333333304</v>
      </c>
      <c r="D3" s="23">
        <v>35.216666666666697</v>
      </c>
      <c r="E3" s="28">
        <v>68.0833333333333</v>
      </c>
      <c r="F3" s="24">
        <v>60</v>
      </c>
    </row>
    <row r="4" spans="1:6" ht="20.100000000000001" customHeight="1" x14ac:dyDescent="0.25">
      <c r="A4" s="25" t="s">
        <v>50</v>
      </c>
      <c r="B4" s="26">
        <v>26.2</v>
      </c>
      <c r="C4" s="26">
        <v>16.600000000000001</v>
      </c>
      <c r="D4" s="26">
        <v>22.9</v>
      </c>
      <c r="E4" s="29">
        <v>65.7</v>
      </c>
      <c r="F4" s="27">
        <v>20</v>
      </c>
    </row>
    <row r="5" spans="1:6" ht="20.100000000000001" customHeight="1" x14ac:dyDescent="0.25">
      <c r="A5" s="25" t="s">
        <v>52</v>
      </c>
      <c r="B5" s="26">
        <v>14.1904761904762</v>
      </c>
      <c r="C5" s="26">
        <v>10.476190476190499</v>
      </c>
      <c r="D5" s="26">
        <v>25.8571428571429</v>
      </c>
      <c r="E5" s="29">
        <v>50.523809523809497</v>
      </c>
      <c r="F5" s="27">
        <v>21</v>
      </c>
    </row>
    <row r="6" spans="1:6" ht="20.100000000000001" customHeight="1" x14ac:dyDescent="0.25">
      <c r="A6" s="25" t="s">
        <v>54</v>
      </c>
      <c r="B6" s="26">
        <v>28.3333333333333</v>
      </c>
      <c r="C6" s="26">
        <v>22.125</v>
      </c>
      <c r="D6" s="26">
        <v>42.125</v>
      </c>
      <c r="E6" s="29">
        <v>92.5833333333333</v>
      </c>
      <c r="F6" s="27">
        <v>24</v>
      </c>
    </row>
    <row r="7" spans="1:6" ht="20.100000000000001" customHeight="1" x14ac:dyDescent="0.25">
      <c r="A7" s="25" t="s">
        <v>56</v>
      </c>
      <c r="B7" s="26">
        <v>11.692307692307701</v>
      </c>
      <c r="C7" s="26">
        <v>14.4871794871795</v>
      </c>
      <c r="D7" s="26">
        <v>31.846153846153801</v>
      </c>
      <c r="E7" s="29">
        <v>58.025641025641001</v>
      </c>
      <c r="F7" s="27">
        <v>39</v>
      </c>
    </row>
    <row r="8" spans="1:6" ht="20.100000000000001" customHeight="1" x14ac:dyDescent="0.25">
      <c r="A8" s="25" t="s">
        <v>58</v>
      </c>
      <c r="B8" s="26">
        <v>11.148148148148101</v>
      </c>
      <c r="C8" s="26">
        <v>19.679012345678998</v>
      </c>
      <c r="D8" s="26">
        <v>26.1358024691358</v>
      </c>
      <c r="E8" s="29">
        <v>56.962962962962997</v>
      </c>
      <c r="F8" s="27">
        <v>81</v>
      </c>
    </row>
    <row r="9" spans="1:6" ht="20.100000000000001" customHeight="1" x14ac:dyDescent="0.25">
      <c r="A9" s="25" t="s">
        <v>60</v>
      </c>
      <c r="B9" s="26">
        <v>20.3434343434343</v>
      </c>
      <c r="C9" s="26">
        <v>17.464646464646499</v>
      </c>
      <c r="D9" s="26">
        <v>29.060606060606101</v>
      </c>
      <c r="E9" s="29">
        <v>66.868686868686893</v>
      </c>
      <c r="F9" s="27">
        <v>99</v>
      </c>
    </row>
    <row r="10" spans="1:6" ht="20.100000000000001" customHeight="1" x14ac:dyDescent="0.25">
      <c r="A10" s="25" t="s">
        <v>62</v>
      </c>
      <c r="B10" s="26">
        <v>47.3333333333333</v>
      </c>
      <c r="C10" s="26">
        <v>18.7083333333333</v>
      </c>
      <c r="D10" s="26">
        <v>38.875</v>
      </c>
      <c r="E10" s="29">
        <v>104.916666666667</v>
      </c>
      <c r="F10" s="27">
        <v>24</v>
      </c>
    </row>
    <row r="11" spans="1:6" ht="20.100000000000001" customHeight="1" x14ac:dyDescent="0.25">
      <c r="A11" s="25" t="s">
        <v>64</v>
      </c>
      <c r="B11" s="26">
        <v>26.044025157232699</v>
      </c>
      <c r="C11" s="26">
        <v>25.144654088050299</v>
      </c>
      <c r="D11" s="26">
        <v>36.691823899371101</v>
      </c>
      <c r="E11" s="29">
        <v>87.880503144654099</v>
      </c>
      <c r="F11" s="27">
        <v>159</v>
      </c>
    </row>
    <row r="12" spans="1:6" ht="20.100000000000001" customHeight="1" x14ac:dyDescent="0.25">
      <c r="A12" s="25" t="s">
        <v>66</v>
      </c>
      <c r="B12" s="26">
        <v>14.168674698795201</v>
      </c>
      <c r="C12" s="26">
        <v>15.481927710843401</v>
      </c>
      <c r="D12" s="26">
        <v>32.891566265060199</v>
      </c>
      <c r="E12" s="29">
        <v>62.5421686746988</v>
      </c>
      <c r="F12" s="27">
        <v>83</v>
      </c>
    </row>
    <row r="13" spans="1:6" ht="20.100000000000001" customHeight="1" x14ac:dyDescent="0.25">
      <c r="A13" s="25" t="s">
        <v>68</v>
      </c>
      <c r="B13" s="26">
        <v>29.5</v>
      </c>
      <c r="C13" s="26">
        <v>12.6756756756757</v>
      </c>
      <c r="D13" s="26">
        <v>37.783783783783797</v>
      </c>
      <c r="E13" s="29">
        <v>79.959459459459495</v>
      </c>
      <c r="F13" s="27">
        <v>74</v>
      </c>
    </row>
    <row r="14" spans="1:6" ht="20.100000000000001" customHeight="1" x14ac:dyDescent="0.25">
      <c r="A14" s="25" t="s">
        <v>70</v>
      </c>
      <c r="B14" s="26">
        <v>14.588235294117601</v>
      </c>
      <c r="C14" s="26">
        <v>8.8235294117647101</v>
      </c>
      <c r="D14" s="26">
        <v>24.882352941176499</v>
      </c>
      <c r="E14" s="29">
        <v>48.294117647058798</v>
      </c>
      <c r="F14" s="27">
        <v>17</v>
      </c>
    </row>
    <row r="15" spans="1:6" ht="20.100000000000001" customHeight="1" x14ac:dyDescent="0.25">
      <c r="A15" s="25" t="s">
        <v>72</v>
      </c>
      <c r="B15" s="26">
        <v>21.240740740740701</v>
      </c>
      <c r="C15" s="26">
        <v>18.8888888888889</v>
      </c>
      <c r="D15" s="26">
        <v>32.814814814814802</v>
      </c>
      <c r="E15" s="29">
        <v>72.9444444444444</v>
      </c>
      <c r="F15" s="27">
        <v>54</v>
      </c>
    </row>
    <row r="16" spans="1:6" ht="20.100000000000001" customHeight="1" x14ac:dyDescent="0.25">
      <c r="A16" s="25" t="s">
        <v>74</v>
      </c>
      <c r="B16" s="26">
        <v>36.571428571428598</v>
      </c>
      <c r="C16" s="26">
        <v>25.371428571428599</v>
      </c>
      <c r="D16" s="26">
        <v>43.8</v>
      </c>
      <c r="E16" s="29">
        <v>105.74285714285701</v>
      </c>
      <c r="F16" s="27">
        <v>35</v>
      </c>
    </row>
    <row r="17" spans="1:6" ht="20.100000000000001" customHeight="1" x14ac:dyDescent="0.25">
      <c r="A17" s="25" t="s">
        <v>76</v>
      </c>
      <c r="B17" s="26">
        <v>28.371794871794901</v>
      </c>
      <c r="C17" s="26">
        <v>19.410256410256402</v>
      </c>
      <c r="D17" s="26">
        <v>29.602564102564099</v>
      </c>
      <c r="E17" s="29">
        <v>77.384615384615401</v>
      </c>
      <c r="F17" s="27">
        <v>78</v>
      </c>
    </row>
    <row r="18" spans="1:6" ht="20.100000000000001" customHeight="1" x14ac:dyDescent="0.25">
      <c r="A18" s="25" t="s">
        <v>78</v>
      </c>
      <c r="B18" s="26">
        <v>26.476190476190499</v>
      </c>
      <c r="C18" s="26">
        <v>23.047619047619001</v>
      </c>
      <c r="D18" s="26">
        <v>40.132275132275097</v>
      </c>
      <c r="E18" s="29">
        <v>89.656084656084701</v>
      </c>
      <c r="F18" s="27">
        <v>189</v>
      </c>
    </row>
    <row r="19" spans="1:6" ht="20.100000000000001" customHeight="1" x14ac:dyDescent="0.25">
      <c r="A19" s="25" t="s">
        <v>80</v>
      </c>
      <c r="B19" s="26">
        <v>16.495867768595001</v>
      </c>
      <c r="C19" s="26">
        <v>18.1404958677686</v>
      </c>
      <c r="D19" s="26">
        <v>40.3719008264463</v>
      </c>
      <c r="E19" s="29">
        <v>75.008264462809905</v>
      </c>
      <c r="F19" s="27">
        <v>121</v>
      </c>
    </row>
    <row r="20" spans="1:6" ht="20.100000000000001" customHeight="1" x14ac:dyDescent="0.25">
      <c r="A20" s="25" t="s">
        <v>82</v>
      </c>
      <c r="B20" s="26">
        <v>14.670886075949401</v>
      </c>
      <c r="C20" s="26">
        <v>22.063291139240501</v>
      </c>
      <c r="D20" s="26">
        <v>45.974683544303801</v>
      </c>
      <c r="E20" s="29">
        <v>82.708860759493703</v>
      </c>
      <c r="F20" s="27">
        <v>79</v>
      </c>
    </row>
    <row r="21" spans="1:6" ht="20.100000000000001" customHeight="1" x14ac:dyDescent="0.25">
      <c r="A21" s="25" t="s">
        <v>84</v>
      </c>
      <c r="B21" s="26">
        <v>29.118918918918901</v>
      </c>
      <c r="C21" s="26">
        <v>28.735135135135099</v>
      </c>
      <c r="D21" s="26">
        <v>37.183783783783802</v>
      </c>
      <c r="E21" s="29">
        <v>95.037837837837799</v>
      </c>
      <c r="F21" s="27">
        <v>185</v>
      </c>
    </row>
    <row r="22" spans="1:6" ht="20.100000000000001" customHeight="1" x14ac:dyDescent="0.25">
      <c r="A22" s="25" t="s">
        <v>86</v>
      </c>
      <c r="B22" s="26">
        <v>18.639534883720899</v>
      </c>
      <c r="C22" s="26">
        <v>21.6279069767442</v>
      </c>
      <c r="D22" s="26">
        <v>37.732558139534902</v>
      </c>
      <c r="E22" s="29">
        <v>78</v>
      </c>
      <c r="F22" s="27">
        <v>86</v>
      </c>
    </row>
    <row r="23" spans="1:6" ht="20.100000000000001" customHeight="1" x14ac:dyDescent="0.25">
      <c r="A23" s="25" t="s">
        <v>88</v>
      </c>
      <c r="B23" s="26">
        <v>32</v>
      </c>
      <c r="C23" s="26">
        <v>17.6666666666667</v>
      </c>
      <c r="D23" s="26">
        <v>57.4</v>
      </c>
      <c r="E23" s="29">
        <v>107.066666666667</v>
      </c>
      <c r="F23" s="27">
        <v>30</v>
      </c>
    </row>
    <row r="24" spans="1:6" ht="20.100000000000001" customHeight="1" x14ac:dyDescent="0.25">
      <c r="A24" s="25" t="s">
        <v>90</v>
      </c>
      <c r="B24" s="26">
        <v>11.7837837837838</v>
      </c>
      <c r="C24" s="26">
        <v>26.360360360360399</v>
      </c>
      <c r="D24" s="26">
        <v>30.5225225225225</v>
      </c>
      <c r="E24" s="29">
        <v>68.6666666666667</v>
      </c>
      <c r="F24" s="27">
        <v>111</v>
      </c>
    </row>
    <row r="25" spans="1:6" ht="20.100000000000001" customHeight="1" x14ac:dyDescent="0.25">
      <c r="A25" s="25" t="s">
        <v>92</v>
      </c>
      <c r="B25" s="26">
        <v>16</v>
      </c>
      <c r="C25" s="26">
        <v>13.973684210526301</v>
      </c>
      <c r="D25" s="26">
        <v>36.368421052631597</v>
      </c>
      <c r="E25" s="29">
        <v>66.342105263157904</v>
      </c>
      <c r="F25" s="27">
        <v>38</v>
      </c>
    </row>
    <row r="26" spans="1:6" ht="20.100000000000001" customHeight="1" x14ac:dyDescent="0.25">
      <c r="A26" s="25" t="s">
        <v>95</v>
      </c>
      <c r="B26" s="26">
        <v>17.4166666666667</v>
      </c>
      <c r="C26" s="26">
        <v>12.0520833333333</v>
      </c>
      <c r="D26" s="26">
        <v>29.3125</v>
      </c>
      <c r="E26" s="29">
        <v>58.78125</v>
      </c>
      <c r="F26" s="27">
        <v>96</v>
      </c>
    </row>
    <row r="27" spans="1:6" ht="20.100000000000001" customHeight="1" x14ac:dyDescent="0.25">
      <c r="A27" s="25" t="s">
        <v>97</v>
      </c>
      <c r="B27" s="26">
        <v>22.3488372093023</v>
      </c>
      <c r="C27" s="26">
        <v>8.3023255813953494</v>
      </c>
      <c r="D27" s="26">
        <v>38.441860465116299</v>
      </c>
      <c r="E27" s="29">
        <v>69.093023255814003</v>
      </c>
      <c r="F27" s="27">
        <v>43</v>
      </c>
    </row>
    <row r="28" spans="1:6" ht="20.100000000000001" customHeight="1" x14ac:dyDescent="0.25">
      <c r="A28" s="25" t="s">
        <v>99</v>
      </c>
      <c r="B28" s="26">
        <v>18.488372093023301</v>
      </c>
      <c r="C28" s="26">
        <v>16.476744186046499</v>
      </c>
      <c r="D28" s="26">
        <v>28.732558139534898</v>
      </c>
      <c r="E28" s="29">
        <v>63.697674418604699</v>
      </c>
      <c r="F28" s="27">
        <v>86</v>
      </c>
    </row>
    <row r="29" spans="1:6" ht="20.100000000000001" customHeight="1" x14ac:dyDescent="0.25">
      <c r="A29" s="25" t="s">
        <v>101</v>
      </c>
      <c r="B29" s="26">
        <v>14.952380952381001</v>
      </c>
      <c r="C29" s="26">
        <v>6.4285714285714297</v>
      </c>
      <c r="D29" s="26">
        <v>18.714285714285701</v>
      </c>
      <c r="E29" s="29">
        <v>40.095238095238102</v>
      </c>
      <c r="F29" s="27">
        <v>21</v>
      </c>
    </row>
    <row r="30" spans="1:6" ht="20.100000000000001" customHeight="1" x14ac:dyDescent="0.25">
      <c r="A30" s="25" t="s">
        <v>103</v>
      </c>
      <c r="B30" s="26">
        <v>17.5254237288136</v>
      </c>
      <c r="C30" s="26">
        <v>14.021186440677999</v>
      </c>
      <c r="D30" s="26">
        <v>34.283898305084698</v>
      </c>
      <c r="E30" s="29">
        <v>65.830508474576305</v>
      </c>
      <c r="F30" s="27">
        <v>236</v>
      </c>
    </row>
    <row r="31" spans="1:6" ht="20.100000000000001" customHeight="1" x14ac:dyDescent="0.25">
      <c r="A31" s="25" t="s">
        <v>106</v>
      </c>
      <c r="B31" s="26">
        <v>10.9326424870466</v>
      </c>
      <c r="C31" s="26">
        <v>10.5906735751295</v>
      </c>
      <c r="D31" s="26">
        <v>18.632124352331601</v>
      </c>
      <c r="E31" s="29">
        <v>40.155440414507801</v>
      </c>
      <c r="F31" s="27">
        <v>193</v>
      </c>
    </row>
    <row r="32" spans="1:6" ht="20.100000000000001" customHeight="1" x14ac:dyDescent="0.25">
      <c r="A32" s="25" t="s">
        <v>109</v>
      </c>
      <c r="B32" s="26">
        <v>19.973913043478301</v>
      </c>
      <c r="C32" s="26">
        <v>13.3652173913043</v>
      </c>
      <c r="D32" s="26">
        <v>25.669565217391298</v>
      </c>
      <c r="E32" s="29">
        <v>59.008695652173898</v>
      </c>
      <c r="F32" s="27">
        <v>115</v>
      </c>
    </row>
    <row r="33" spans="1:6" ht="20.100000000000001" customHeight="1" x14ac:dyDescent="0.25">
      <c r="A33" s="25" t="s">
        <v>112</v>
      </c>
      <c r="B33" s="26">
        <v>18.173410404624299</v>
      </c>
      <c r="C33" s="26">
        <v>24.895953757225399</v>
      </c>
      <c r="D33" s="26">
        <v>28.1387283236994</v>
      </c>
      <c r="E33" s="29">
        <v>71.208092485549102</v>
      </c>
      <c r="F33" s="27">
        <v>173</v>
      </c>
    </row>
    <row r="34" spans="1:6" ht="20.100000000000001" customHeight="1" x14ac:dyDescent="0.25">
      <c r="A34" s="25" t="s">
        <v>114</v>
      </c>
      <c r="B34" s="26">
        <v>4.95</v>
      </c>
      <c r="C34" s="26">
        <v>5.2249999999999996</v>
      </c>
      <c r="D34" s="26">
        <v>13.074999999999999</v>
      </c>
      <c r="E34" s="29">
        <v>23.25</v>
      </c>
      <c r="F34" s="27">
        <v>40</v>
      </c>
    </row>
    <row r="35" spans="1:6" ht="20.100000000000001" customHeight="1" x14ac:dyDescent="0.25">
      <c r="A35" s="25" t="s">
        <v>117</v>
      </c>
      <c r="B35" s="26">
        <v>7.7372881355932197</v>
      </c>
      <c r="C35" s="26">
        <v>7.71186440677966</v>
      </c>
      <c r="D35" s="26">
        <v>25.161016949152501</v>
      </c>
      <c r="E35" s="29">
        <v>40.610169491525397</v>
      </c>
      <c r="F35" s="27">
        <v>118</v>
      </c>
    </row>
    <row r="36" spans="1:6" ht="20.100000000000001" customHeight="1" x14ac:dyDescent="0.25">
      <c r="A36" s="25" t="s">
        <v>120</v>
      </c>
      <c r="B36" s="26">
        <v>32.853107344632797</v>
      </c>
      <c r="C36" s="26">
        <v>22.135593220339</v>
      </c>
      <c r="D36" s="26">
        <v>31.9943502824859</v>
      </c>
      <c r="E36" s="29">
        <v>86.983050847457605</v>
      </c>
      <c r="F36" s="27">
        <v>177</v>
      </c>
    </row>
    <row r="37" spans="1:6" ht="20.100000000000001" customHeight="1" x14ac:dyDescent="0.25">
      <c r="A37" s="25" t="s">
        <v>123</v>
      </c>
      <c r="B37" s="26">
        <v>5.5382436260623198</v>
      </c>
      <c r="C37" s="26">
        <v>4.39376770538244</v>
      </c>
      <c r="D37" s="26">
        <v>11.447592067988699</v>
      </c>
      <c r="E37" s="29">
        <v>21.3796033994334</v>
      </c>
      <c r="F37" s="27">
        <v>353</v>
      </c>
    </row>
    <row r="38" spans="1:6" ht="20.100000000000001" customHeight="1" x14ac:dyDescent="0.25">
      <c r="A38" s="25" t="s">
        <v>125</v>
      </c>
      <c r="B38" s="26">
        <v>3.7333333333333298</v>
      </c>
      <c r="C38" s="26">
        <v>10.742592592592599</v>
      </c>
      <c r="D38" s="26">
        <v>20.6444444444444</v>
      </c>
      <c r="E38" s="29">
        <v>35.120370370370402</v>
      </c>
      <c r="F38" s="27">
        <v>540</v>
      </c>
    </row>
    <row r="39" spans="1:6" ht="20.100000000000001" customHeight="1" x14ac:dyDescent="0.25">
      <c r="A39" s="25" t="s">
        <v>127</v>
      </c>
      <c r="B39" s="26">
        <v>2.5488721804511298</v>
      </c>
      <c r="C39" s="26">
        <v>11.774436090225599</v>
      </c>
      <c r="D39" s="26">
        <v>18.285714285714299</v>
      </c>
      <c r="E39" s="29">
        <v>32.609022556390997</v>
      </c>
      <c r="F39" s="27">
        <v>133</v>
      </c>
    </row>
    <row r="40" spans="1:6" ht="20.100000000000001" customHeight="1" x14ac:dyDescent="0.25">
      <c r="A40" s="25" t="s">
        <v>129</v>
      </c>
      <c r="B40" s="26">
        <v>19.3565217391304</v>
      </c>
      <c r="C40" s="26">
        <v>14.6</v>
      </c>
      <c r="D40" s="26">
        <v>29.086956521739101</v>
      </c>
      <c r="E40" s="29">
        <v>63.043478260869598</v>
      </c>
      <c r="F40" s="27">
        <v>115</v>
      </c>
    </row>
    <row r="41" spans="1:6" ht="20.100000000000001" customHeight="1" x14ac:dyDescent="0.25">
      <c r="A41" s="25" t="s">
        <v>132</v>
      </c>
      <c r="B41" s="26">
        <v>21.806451612903199</v>
      </c>
      <c r="C41" s="26">
        <v>17.139784946236599</v>
      </c>
      <c r="D41" s="26">
        <v>23.322580645161299</v>
      </c>
      <c r="E41" s="29">
        <v>62.268817204301101</v>
      </c>
      <c r="F41" s="27">
        <v>93</v>
      </c>
    </row>
    <row r="42" spans="1:6" ht="20.100000000000001" customHeight="1" x14ac:dyDescent="0.25">
      <c r="A42" s="25" t="s">
        <v>135</v>
      </c>
      <c r="B42" s="26">
        <v>21.5555555555556</v>
      </c>
      <c r="C42" s="26">
        <v>8.68888888888889</v>
      </c>
      <c r="D42" s="26">
        <v>30.4444444444444</v>
      </c>
      <c r="E42" s="29">
        <v>60.688888888888897</v>
      </c>
      <c r="F42" s="27">
        <v>45</v>
      </c>
    </row>
    <row r="43" spans="1:6" ht="20.100000000000001" customHeight="1" x14ac:dyDescent="0.25">
      <c r="A43" s="25" t="s">
        <v>137</v>
      </c>
      <c r="B43" s="26">
        <v>9.3506493506493502</v>
      </c>
      <c r="C43" s="26">
        <v>10.575757575757599</v>
      </c>
      <c r="D43" s="26">
        <v>18.852813852813899</v>
      </c>
      <c r="E43" s="29">
        <v>38.7792207792208</v>
      </c>
      <c r="F43" s="27">
        <v>231</v>
      </c>
    </row>
    <row r="44" spans="1:6" ht="20.100000000000001" customHeight="1" x14ac:dyDescent="0.25">
      <c r="A44" s="25" t="s">
        <v>139</v>
      </c>
      <c r="B44" s="26">
        <v>20.9421487603306</v>
      </c>
      <c r="C44" s="26">
        <v>9.9876033057851199</v>
      </c>
      <c r="D44" s="26">
        <v>20.123966942148801</v>
      </c>
      <c r="E44" s="29">
        <v>51.053719008264501</v>
      </c>
      <c r="F44" s="27">
        <v>242</v>
      </c>
    </row>
    <row r="45" spans="1:6" ht="20.100000000000001" customHeight="1" x14ac:dyDescent="0.25">
      <c r="A45" s="25" t="s">
        <v>142</v>
      </c>
      <c r="B45" s="26">
        <v>14.214285714285699</v>
      </c>
      <c r="C45" s="26">
        <v>8.1785714285714306</v>
      </c>
      <c r="D45" s="26">
        <v>15.8214285714286</v>
      </c>
      <c r="E45" s="29">
        <v>38.214285714285701</v>
      </c>
      <c r="F45" s="27">
        <v>28</v>
      </c>
    </row>
    <row r="46" spans="1:6" ht="20.100000000000001" customHeight="1" x14ac:dyDescent="0.25">
      <c r="A46" s="25" t="s">
        <v>144</v>
      </c>
      <c r="B46" s="26">
        <v>22.274576271186401</v>
      </c>
      <c r="C46" s="26">
        <v>20.149152542372899</v>
      </c>
      <c r="D46" s="26">
        <v>24.437288135593199</v>
      </c>
      <c r="E46" s="29">
        <v>66.8610169491525</v>
      </c>
      <c r="F46" s="27">
        <v>295</v>
      </c>
    </row>
    <row r="47" spans="1:6" ht="20.100000000000001" customHeight="1" x14ac:dyDescent="0.25">
      <c r="A47" s="25" t="s">
        <v>146</v>
      </c>
      <c r="B47" s="26">
        <v>26.176291793313101</v>
      </c>
      <c r="C47" s="26">
        <v>14.4574468085106</v>
      </c>
      <c r="D47" s="26">
        <v>25.121580547112501</v>
      </c>
      <c r="E47" s="29">
        <v>65.755319148936195</v>
      </c>
      <c r="F47" s="27">
        <v>658</v>
      </c>
    </row>
    <row r="48" spans="1:6" ht="20.100000000000001" customHeight="1" x14ac:dyDescent="0.25">
      <c r="A48" s="25" t="s">
        <v>149</v>
      </c>
      <c r="B48" s="26">
        <v>16.390243902439</v>
      </c>
      <c r="C48" s="26">
        <v>20.634146341463399</v>
      </c>
      <c r="D48" s="26">
        <v>24.756097560975601</v>
      </c>
      <c r="E48" s="29">
        <v>61.780487804878</v>
      </c>
      <c r="F48" s="27">
        <v>41</v>
      </c>
    </row>
    <row r="49" spans="1:6" ht="20.100000000000001" customHeight="1" x14ac:dyDescent="0.25">
      <c r="A49" s="25" t="s">
        <v>151</v>
      </c>
      <c r="B49" s="26">
        <v>21.360189573459699</v>
      </c>
      <c r="C49" s="26">
        <v>19.710900473933599</v>
      </c>
      <c r="D49" s="26">
        <v>22.488151658767801</v>
      </c>
      <c r="E49" s="29">
        <v>63.559241706161103</v>
      </c>
      <c r="F49" s="27">
        <v>211</v>
      </c>
    </row>
    <row r="50" spans="1:6" ht="20.100000000000001" customHeight="1" x14ac:dyDescent="0.25">
      <c r="A50" s="25" t="s">
        <v>153</v>
      </c>
      <c r="B50" s="26">
        <v>37.442307692307701</v>
      </c>
      <c r="C50" s="26">
        <v>30.769230769230798</v>
      </c>
      <c r="D50" s="26">
        <v>33.596153846153797</v>
      </c>
      <c r="E50" s="29">
        <v>101.80769230769199</v>
      </c>
      <c r="F50" s="27">
        <v>52</v>
      </c>
    </row>
    <row r="51" spans="1:6" ht="20.100000000000001" customHeight="1" x14ac:dyDescent="0.25">
      <c r="A51" s="25" t="s">
        <v>156</v>
      </c>
      <c r="B51" s="26">
        <v>15.6288659793814</v>
      </c>
      <c r="C51" s="26">
        <v>9.0206185567010309</v>
      </c>
      <c r="D51" s="26">
        <v>22.3917525773196</v>
      </c>
      <c r="E51" s="29">
        <v>47.041237113402097</v>
      </c>
      <c r="F51" s="27">
        <v>97</v>
      </c>
    </row>
    <row r="52" spans="1:6" ht="20.100000000000001" customHeight="1" x14ac:dyDescent="0.25">
      <c r="A52" s="25" t="s">
        <v>158</v>
      </c>
      <c r="B52" s="26">
        <v>7.8409090909090899</v>
      </c>
      <c r="C52" s="26">
        <v>11.909090909090899</v>
      </c>
      <c r="D52" s="26">
        <v>25.204545454545499</v>
      </c>
      <c r="E52" s="29">
        <v>44.954545454545503</v>
      </c>
      <c r="F52" s="27">
        <v>44</v>
      </c>
    </row>
    <row r="53" spans="1:6" ht="20.100000000000001" customHeight="1" x14ac:dyDescent="0.25">
      <c r="A53" s="25" t="s">
        <v>160</v>
      </c>
      <c r="B53" s="26">
        <v>7.2916666666666696</v>
      </c>
      <c r="C53" s="26">
        <v>15.5833333333333</v>
      </c>
      <c r="D53" s="26">
        <v>28.4583333333333</v>
      </c>
      <c r="E53" s="29">
        <v>51.3333333333333</v>
      </c>
      <c r="F53" s="27">
        <v>24</v>
      </c>
    </row>
    <row r="54" spans="1:6" ht="20.100000000000001" customHeight="1" x14ac:dyDescent="0.25">
      <c r="A54" s="25" t="s">
        <v>163</v>
      </c>
      <c r="B54" s="26">
        <v>19.086956521739101</v>
      </c>
      <c r="C54" s="26">
        <v>13.804347826087</v>
      </c>
      <c r="D54" s="26">
        <v>20.304347826087</v>
      </c>
      <c r="E54" s="29">
        <v>53.195652173912997</v>
      </c>
      <c r="F54" s="27">
        <v>46</v>
      </c>
    </row>
    <row r="55" spans="1:6" ht="20.100000000000001" customHeight="1" x14ac:dyDescent="0.25">
      <c r="A55" s="25" t="s">
        <v>166</v>
      </c>
      <c r="B55" s="26">
        <v>7.2950819672131102</v>
      </c>
      <c r="C55" s="26">
        <v>22.934426229508201</v>
      </c>
      <c r="D55" s="26">
        <v>34.721311475409799</v>
      </c>
      <c r="E55" s="29">
        <v>64.950819672131104</v>
      </c>
      <c r="F55" s="27">
        <v>61</v>
      </c>
    </row>
    <row r="56" spans="1:6" ht="20.100000000000001" customHeight="1" x14ac:dyDescent="0.25">
      <c r="A56" s="25" t="s">
        <v>168</v>
      </c>
      <c r="B56" s="26">
        <v>18.074074074074101</v>
      </c>
      <c r="C56" s="26">
        <v>16.6666666666667</v>
      </c>
      <c r="D56" s="26">
        <v>35.8888888888889</v>
      </c>
      <c r="E56" s="29">
        <v>70.629629629629605</v>
      </c>
      <c r="F56" s="27">
        <v>27</v>
      </c>
    </row>
    <row r="57" spans="1:6" ht="20.100000000000001" customHeight="1" x14ac:dyDescent="0.25">
      <c r="A57" s="25" t="s">
        <v>170</v>
      </c>
      <c r="B57" s="26">
        <v>32.409090909090899</v>
      </c>
      <c r="C57" s="26">
        <v>28</v>
      </c>
      <c r="D57" s="26">
        <v>46.727272727272698</v>
      </c>
      <c r="E57" s="29">
        <v>107.136363636364</v>
      </c>
      <c r="F57" s="27">
        <v>22</v>
      </c>
    </row>
    <row r="58" spans="1:6" ht="20.100000000000001" customHeight="1" x14ac:dyDescent="0.25">
      <c r="A58" s="25" t="s">
        <v>172</v>
      </c>
      <c r="B58" s="26">
        <v>17</v>
      </c>
      <c r="C58" s="26">
        <v>15.9333333333333</v>
      </c>
      <c r="D58" s="26">
        <v>37.4</v>
      </c>
      <c r="E58" s="29">
        <v>70.3333333333333</v>
      </c>
      <c r="F58" s="27">
        <v>15</v>
      </c>
    </row>
    <row r="59" spans="1:6" ht="20.100000000000001" customHeight="1" x14ac:dyDescent="0.25">
      <c r="A59" s="25" t="s">
        <v>175</v>
      </c>
      <c r="B59" s="26">
        <v>11.0650406504065</v>
      </c>
      <c r="C59" s="26">
        <v>11.9430894308943</v>
      </c>
      <c r="D59" s="26">
        <v>27.065040650406502</v>
      </c>
      <c r="E59" s="29">
        <v>50.0731707317073</v>
      </c>
      <c r="F59" s="27">
        <v>123</v>
      </c>
    </row>
    <row r="60" spans="1:6" ht="20.100000000000001" customHeight="1" x14ac:dyDescent="0.25">
      <c r="A60" s="25" t="s">
        <v>177</v>
      </c>
      <c r="B60" s="26">
        <v>10.8</v>
      </c>
      <c r="C60" s="26">
        <v>11.454545454545499</v>
      </c>
      <c r="D60" s="26">
        <v>7.47272727272727</v>
      </c>
      <c r="E60" s="29">
        <v>29.727272727272702</v>
      </c>
      <c r="F60" s="27">
        <v>55</v>
      </c>
    </row>
    <row r="61" spans="1:6" ht="20.100000000000001" customHeight="1" x14ac:dyDescent="0.25">
      <c r="A61" s="25" t="s">
        <v>179</v>
      </c>
      <c r="B61" s="26">
        <v>13.935483870967699</v>
      </c>
      <c r="C61" s="26">
        <v>16.161290322580601</v>
      </c>
      <c r="D61" s="26">
        <v>13.3548387096774</v>
      </c>
      <c r="E61" s="29">
        <v>43.451612903225801</v>
      </c>
      <c r="F61" s="27">
        <v>31</v>
      </c>
    </row>
    <row r="62" spans="1:6" ht="20.100000000000001" customHeight="1" x14ac:dyDescent="0.25">
      <c r="A62" s="25" t="s">
        <v>182</v>
      </c>
      <c r="B62" s="26">
        <v>30.8</v>
      </c>
      <c r="C62" s="26">
        <v>22.28</v>
      </c>
      <c r="D62" s="26">
        <v>28.62</v>
      </c>
      <c r="E62" s="29">
        <v>81.7</v>
      </c>
      <c r="F62" s="27">
        <v>100</v>
      </c>
    </row>
    <row r="63" spans="1:6" ht="20.100000000000001" customHeight="1" x14ac:dyDescent="0.25">
      <c r="A63" s="25" t="s">
        <v>185</v>
      </c>
      <c r="B63" s="26">
        <v>26.947368421052602</v>
      </c>
      <c r="C63" s="26">
        <v>18.421052631578899</v>
      </c>
      <c r="D63" s="26">
        <v>34.631578947368403</v>
      </c>
      <c r="E63" s="29">
        <v>80</v>
      </c>
      <c r="F63" s="27">
        <v>19</v>
      </c>
    </row>
    <row r="64" spans="1:6" ht="20.100000000000001" customHeight="1" x14ac:dyDescent="0.25">
      <c r="A64" s="25" t="s">
        <v>188</v>
      </c>
      <c r="B64" s="26">
        <v>7.3461538461538503</v>
      </c>
      <c r="C64" s="26">
        <v>14.0769230769231</v>
      </c>
      <c r="D64" s="26">
        <v>35.192307692307701</v>
      </c>
      <c r="E64" s="29">
        <v>56.615384615384599</v>
      </c>
      <c r="F64" s="27">
        <v>52</v>
      </c>
    </row>
    <row r="65" spans="1:6" ht="20.100000000000001" customHeight="1" x14ac:dyDescent="0.25">
      <c r="A65" s="25" t="s">
        <v>191</v>
      </c>
      <c r="B65" s="26">
        <v>16.584269662921301</v>
      </c>
      <c r="C65" s="26">
        <v>21.123595505617999</v>
      </c>
      <c r="D65" s="26">
        <v>32.876404494382001</v>
      </c>
      <c r="E65" s="29">
        <v>70.584269662921301</v>
      </c>
      <c r="F65" s="27">
        <v>178</v>
      </c>
    </row>
    <row r="66" spans="1:6" ht="20.100000000000001" customHeight="1" x14ac:dyDescent="0.25">
      <c r="A66" s="25" t="s">
        <v>194</v>
      </c>
      <c r="B66" s="26">
        <v>31.6103896103896</v>
      </c>
      <c r="C66" s="26">
        <v>24.246753246753201</v>
      </c>
      <c r="D66" s="26">
        <v>38.610389610389603</v>
      </c>
      <c r="E66" s="29">
        <v>94.467532467532493</v>
      </c>
      <c r="F66" s="27">
        <v>77</v>
      </c>
    </row>
    <row r="67" spans="1:6" ht="20.100000000000001" customHeight="1" x14ac:dyDescent="0.25">
      <c r="A67" s="25" t="s">
        <v>196</v>
      </c>
      <c r="B67" s="26">
        <v>4.6551724137930997</v>
      </c>
      <c r="C67" s="26">
        <v>0.27586206896551702</v>
      </c>
      <c r="D67" s="26">
        <v>7.1724137931034502</v>
      </c>
      <c r="E67" s="29">
        <v>12.1034482758621</v>
      </c>
      <c r="F67" s="27">
        <v>29</v>
      </c>
    </row>
    <row r="68" spans="1:6" ht="20.100000000000001" customHeight="1" x14ac:dyDescent="0.25">
      <c r="A68" s="25" t="s">
        <v>198</v>
      </c>
      <c r="B68" s="26">
        <v>11.7931034482759</v>
      </c>
      <c r="C68" s="26">
        <v>11.034482758620699</v>
      </c>
      <c r="D68" s="26">
        <v>18.827586206896601</v>
      </c>
      <c r="E68" s="29">
        <v>41.655172413793103</v>
      </c>
      <c r="F68" s="27">
        <v>29</v>
      </c>
    </row>
    <row r="69" spans="1:6" ht="20.100000000000001" customHeight="1" x14ac:dyDescent="0.25">
      <c r="A69" s="25" t="s">
        <v>200</v>
      </c>
      <c r="B69" s="26">
        <v>16.4166666666667</v>
      </c>
      <c r="C69" s="26">
        <v>17.9166666666667</v>
      </c>
      <c r="D69" s="26">
        <v>29.3333333333333</v>
      </c>
      <c r="E69" s="29">
        <v>63.6666666666667</v>
      </c>
      <c r="F69" s="27">
        <v>36</v>
      </c>
    </row>
    <row r="70" spans="1:6" ht="20.100000000000001" customHeight="1" x14ac:dyDescent="0.25">
      <c r="A70" s="25" t="s">
        <v>202</v>
      </c>
      <c r="B70" s="26">
        <v>23.039792387543301</v>
      </c>
      <c r="C70" s="26">
        <v>16.640138408304502</v>
      </c>
      <c r="D70" s="26">
        <v>35.820069204152198</v>
      </c>
      <c r="E70" s="29">
        <v>75.5</v>
      </c>
      <c r="F70" s="27">
        <v>578</v>
      </c>
    </row>
    <row r="71" spans="1:6" ht="20.100000000000001" customHeight="1" x14ac:dyDescent="0.25">
      <c r="A71" s="25" t="s">
        <v>205</v>
      </c>
      <c r="B71" s="26">
        <v>33.965635738831601</v>
      </c>
      <c r="C71" s="26">
        <v>30.890034364261201</v>
      </c>
      <c r="D71" s="26">
        <v>41.261168384879703</v>
      </c>
      <c r="E71" s="29">
        <v>106.116838487973</v>
      </c>
      <c r="F71" s="27">
        <v>291</v>
      </c>
    </row>
    <row r="72" spans="1:6" ht="20.100000000000001" customHeight="1" x14ac:dyDescent="0.25">
      <c r="A72" s="25" t="s">
        <v>208</v>
      </c>
      <c r="B72" s="26">
        <v>10.527027027027</v>
      </c>
      <c r="C72" s="26">
        <v>13.8324324324324</v>
      </c>
      <c r="D72" s="26">
        <v>27.997297297297301</v>
      </c>
      <c r="E72" s="29">
        <v>52.356756756756802</v>
      </c>
      <c r="F72" s="27">
        <v>370</v>
      </c>
    </row>
    <row r="73" spans="1:6" ht="20.100000000000001" customHeight="1" x14ac:dyDescent="0.25">
      <c r="A73" s="25" t="s">
        <v>211</v>
      </c>
      <c r="B73" s="26">
        <v>7.6893203883495103</v>
      </c>
      <c r="C73" s="26">
        <v>11.752427184466001</v>
      </c>
      <c r="D73" s="26">
        <v>18.606796116504899</v>
      </c>
      <c r="E73" s="29">
        <v>38.048543689320397</v>
      </c>
      <c r="F73" s="27">
        <v>206</v>
      </c>
    </row>
    <row r="74" spans="1:6" ht="20.100000000000001" customHeight="1" x14ac:dyDescent="0.25">
      <c r="A74" s="25" t="s">
        <v>214</v>
      </c>
      <c r="B74" s="26">
        <v>30.798798798798799</v>
      </c>
      <c r="C74" s="26">
        <v>23.6216216216216</v>
      </c>
      <c r="D74" s="26">
        <v>40.750750750750797</v>
      </c>
      <c r="E74" s="29">
        <v>95.171171171171196</v>
      </c>
      <c r="F74" s="27">
        <v>333</v>
      </c>
    </row>
    <row r="75" spans="1:6" ht="20.100000000000001" customHeight="1" x14ac:dyDescent="0.25">
      <c r="A75" s="25" t="s">
        <v>217</v>
      </c>
      <c r="B75" s="26">
        <v>21.921052631578899</v>
      </c>
      <c r="C75" s="26">
        <v>21.7368421052632</v>
      </c>
      <c r="D75" s="26">
        <v>34.921052631578902</v>
      </c>
      <c r="E75" s="29">
        <v>78.578947368421098</v>
      </c>
      <c r="F75" s="27">
        <v>38</v>
      </c>
    </row>
    <row r="76" spans="1:6" ht="20.100000000000001" customHeight="1" x14ac:dyDescent="0.25">
      <c r="A76" s="25" t="s">
        <v>219</v>
      </c>
      <c r="B76" s="26">
        <v>3.3333333333333299</v>
      </c>
      <c r="C76" s="26">
        <v>18.3333333333333</v>
      </c>
      <c r="D76" s="26">
        <v>23.3888888888889</v>
      </c>
      <c r="E76" s="29">
        <v>45.0555555555556</v>
      </c>
      <c r="F76" s="27">
        <v>36</v>
      </c>
    </row>
    <row r="77" spans="1:6" ht="20.100000000000001" customHeight="1" x14ac:dyDescent="0.25">
      <c r="A77" s="25" t="s">
        <v>222</v>
      </c>
      <c r="B77" s="26">
        <v>25.769230769230798</v>
      </c>
      <c r="C77" s="26">
        <v>14.596153846153801</v>
      </c>
      <c r="D77" s="26">
        <v>34.288461538461497</v>
      </c>
      <c r="E77" s="29">
        <v>74.653846153846203</v>
      </c>
      <c r="F77" s="27">
        <v>52</v>
      </c>
    </row>
    <row r="78" spans="1:6" ht="20.100000000000001" customHeight="1" x14ac:dyDescent="0.25">
      <c r="A78" s="25" t="s">
        <v>224</v>
      </c>
      <c r="B78" s="26">
        <v>14.064516129032301</v>
      </c>
      <c r="C78" s="26">
        <v>11.9032258064516</v>
      </c>
      <c r="D78" s="26">
        <v>19.109677419354799</v>
      </c>
      <c r="E78" s="29">
        <v>45.077419354838703</v>
      </c>
      <c r="F78" s="27">
        <v>155</v>
      </c>
    </row>
    <row r="79" spans="1:6" ht="20.100000000000001" customHeight="1" x14ac:dyDescent="0.25">
      <c r="A79" s="25" t="s">
        <v>226</v>
      </c>
      <c r="B79" s="26">
        <v>13.0701754385965</v>
      </c>
      <c r="C79" s="26">
        <v>9.8713450292397695</v>
      </c>
      <c r="D79" s="26">
        <v>23.625730994152001</v>
      </c>
      <c r="E79" s="29">
        <v>46.567251461988299</v>
      </c>
      <c r="F79" s="27">
        <v>171</v>
      </c>
    </row>
    <row r="80" spans="1:6" ht="20.100000000000001" customHeight="1" x14ac:dyDescent="0.25">
      <c r="A80" s="25" t="s">
        <v>228</v>
      </c>
      <c r="B80" s="26">
        <v>28.955752212389399</v>
      </c>
      <c r="C80" s="26">
        <v>26.716814159291999</v>
      </c>
      <c r="D80" s="26">
        <v>39.955752212389399</v>
      </c>
      <c r="E80" s="29">
        <v>95.628318584070797</v>
      </c>
      <c r="F80" s="27">
        <v>113</v>
      </c>
    </row>
    <row r="81" spans="1:6" ht="20.100000000000001" customHeight="1" x14ac:dyDescent="0.25">
      <c r="A81" s="25" t="s">
        <v>230</v>
      </c>
      <c r="B81" s="26">
        <v>25.125</v>
      </c>
      <c r="C81" s="26">
        <v>29.375</v>
      </c>
      <c r="D81" s="26">
        <v>35.875</v>
      </c>
      <c r="E81" s="29">
        <v>90.375</v>
      </c>
      <c r="F81" s="27">
        <v>8</v>
      </c>
    </row>
    <row r="82" spans="1:6" ht="20.100000000000001" customHeight="1" thickBot="1" x14ac:dyDescent="0.3">
      <c r="A82" s="25" t="s">
        <v>233</v>
      </c>
      <c r="B82" s="26">
        <v>19.504032258064498</v>
      </c>
      <c r="C82" s="26">
        <v>17.693548387096801</v>
      </c>
      <c r="D82" s="26">
        <v>34.7338709677419</v>
      </c>
      <c r="E82" s="29">
        <v>71.931451612903203</v>
      </c>
      <c r="F82" s="27">
        <v>248</v>
      </c>
    </row>
    <row r="83" spans="1:6" ht="20.100000000000001" customHeight="1" thickBot="1" x14ac:dyDescent="0.3">
      <c r="A83" s="31" t="s">
        <v>20</v>
      </c>
      <c r="B83" s="32"/>
      <c r="C83" s="32"/>
      <c r="D83" s="32"/>
      <c r="E83" s="32"/>
      <c r="F83" s="30">
        <f>SUM(F3:F82)</f>
        <v>9706</v>
      </c>
    </row>
  </sheetData>
  <mergeCells count="1">
    <mergeCell ref="A1:F1"/>
  </mergeCells>
  <conditionalFormatting sqref="A3:D82 F3:F82">
    <cfRule type="expression" dxfId="1" priority="1">
      <formula>MOD(ROW(),2)=1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</sheetPr>
  <dimension ref="A1:L83"/>
  <sheetViews>
    <sheetView showGridLines="0" zoomScale="95" zoomScaleNormal="95" workbookViewId="0">
      <selection sqref="A1:L1"/>
    </sheetView>
  </sheetViews>
  <sheetFormatPr defaultColWidth="9.140625" defaultRowHeight="15.95" customHeight="1" x14ac:dyDescent="0.3"/>
  <cols>
    <col min="1" max="1" width="46.5703125" style="3" bestFit="1" customWidth="1"/>
    <col min="2" max="11" width="7.7109375" style="3" customWidth="1"/>
    <col min="12" max="12" width="7.7109375" style="2" customWidth="1"/>
    <col min="13" max="16384" width="9.140625" style="2"/>
  </cols>
  <sheetData>
    <row r="1" spans="1:12" ht="24.95" customHeight="1" thickBot="1" x14ac:dyDescent="0.35">
      <c r="A1" s="52" t="s">
        <v>45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2" ht="78" customHeight="1" thickBot="1" x14ac:dyDescent="0.35">
      <c r="A2" s="41" t="s">
        <v>3</v>
      </c>
      <c r="B2" s="42" t="s">
        <v>14</v>
      </c>
      <c r="C2" s="42" t="s">
        <v>15</v>
      </c>
      <c r="D2" s="42" t="s">
        <v>16</v>
      </c>
      <c r="E2" s="42" t="s">
        <v>17</v>
      </c>
      <c r="F2" s="42" t="s">
        <v>18</v>
      </c>
      <c r="G2" s="42" t="s">
        <v>19</v>
      </c>
      <c r="H2" s="42" t="s">
        <v>21</v>
      </c>
      <c r="I2" s="42" t="s">
        <v>22</v>
      </c>
      <c r="J2" s="42" t="s">
        <v>41</v>
      </c>
      <c r="K2" s="42" t="s">
        <v>42</v>
      </c>
      <c r="L2" s="43" t="s">
        <v>20</v>
      </c>
    </row>
    <row r="3" spans="1:12" ht="15.95" customHeight="1" x14ac:dyDescent="0.3">
      <c r="A3" s="35" t="s">
        <v>48</v>
      </c>
      <c r="B3" s="37">
        <v>0</v>
      </c>
      <c r="C3" s="37">
        <v>0</v>
      </c>
      <c r="D3" s="37">
        <v>1</v>
      </c>
      <c r="E3" s="37">
        <v>0</v>
      </c>
      <c r="F3" s="37">
        <v>1</v>
      </c>
      <c r="G3" s="37">
        <v>0</v>
      </c>
      <c r="H3" s="37">
        <v>2</v>
      </c>
      <c r="I3" s="37">
        <v>6</v>
      </c>
      <c r="J3" s="37">
        <v>28</v>
      </c>
      <c r="K3" s="37">
        <v>22</v>
      </c>
      <c r="L3" s="38">
        <v>60</v>
      </c>
    </row>
    <row r="4" spans="1:12" ht="15.95" customHeight="1" x14ac:dyDescent="0.3">
      <c r="A4" s="36" t="s">
        <v>50</v>
      </c>
      <c r="B4" s="39">
        <v>0</v>
      </c>
      <c r="C4" s="39">
        <v>0</v>
      </c>
      <c r="D4" s="39">
        <v>0</v>
      </c>
      <c r="E4" s="39">
        <v>0</v>
      </c>
      <c r="F4" s="39">
        <v>0</v>
      </c>
      <c r="G4" s="39">
        <v>0</v>
      </c>
      <c r="H4" s="39">
        <v>2</v>
      </c>
      <c r="I4" s="39">
        <v>3</v>
      </c>
      <c r="J4" s="39">
        <v>5</v>
      </c>
      <c r="K4" s="39">
        <v>10</v>
      </c>
      <c r="L4" s="40">
        <v>20</v>
      </c>
    </row>
    <row r="5" spans="1:12" ht="15.95" customHeight="1" x14ac:dyDescent="0.3">
      <c r="A5" s="36" t="s">
        <v>52</v>
      </c>
      <c r="B5" s="39">
        <v>0</v>
      </c>
      <c r="C5" s="39">
        <v>0</v>
      </c>
      <c r="D5" s="39">
        <v>0</v>
      </c>
      <c r="E5" s="39">
        <v>0</v>
      </c>
      <c r="F5" s="39">
        <v>0</v>
      </c>
      <c r="G5" s="39">
        <v>1</v>
      </c>
      <c r="H5" s="39">
        <v>1</v>
      </c>
      <c r="I5" s="39">
        <v>0</v>
      </c>
      <c r="J5" s="39">
        <v>5</v>
      </c>
      <c r="K5" s="39">
        <v>14</v>
      </c>
      <c r="L5" s="40">
        <v>21</v>
      </c>
    </row>
    <row r="6" spans="1:12" ht="15.95" customHeight="1" x14ac:dyDescent="0.3">
      <c r="A6" s="36" t="s">
        <v>54</v>
      </c>
      <c r="B6" s="39">
        <v>0</v>
      </c>
      <c r="C6" s="39">
        <v>0</v>
      </c>
      <c r="D6" s="39">
        <v>0</v>
      </c>
      <c r="E6" s="39">
        <v>0</v>
      </c>
      <c r="F6" s="39">
        <v>1</v>
      </c>
      <c r="G6" s="39">
        <v>0</v>
      </c>
      <c r="H6" s="39">
        <v>5</v>
      </c>
      <c r="I6" s="39">
        <v>4</v>
      </c>
      <c r="J6" s="39">
        <v>11</v>
      </c>
      <c r="K6" s="39">
        <v>3</v>
      </c>
      <c r="L6" s="40">
        <v>24</v>
      </c>
    </row>
    <row r="7" spans="1:12" ht="15.95" customHeight="1" x14ac:dyDescent="0.3">
      <c r="A7" s="36" t="s">
        <v>56</v>
      </c>
      <c r="B7" s="39">
        <v>0</v>
      </c>
      <c r="C7" s="39">
        <v>0</v>
      </c>
      <c r="D7" s="39">
        <v>0</v>
      </c>
      <c r="E7" s="39">
        <v>0</v>
      </c>
      <c r="F7" s="39">
        <v>0</v>
      </c>
      <c r="G7" s="39">
        <v>2</v>
      </c>
      <c r="H7" s="39">
        <v>1</v>
      </c>
      <c r="I7" s="39">
        <v>0</v>
      </c>
      <c r="J7" s="39">
        <v>11</v>
      </c>
      <c r="K7" s="39">
        <v>25</v>
      </c>
      <c r="L7" s="40">
        <v>39</v>
      </c>
    </row>
    <row r="8" spans="1:12" ht="15.95" customHeight="1" x14ac:dyDescent="0.3">
      <c r="A8" s="36" t="s">
        <v>58</v>
      </c>
      <c r="B8" s="39">
        <v>0</v>
      </c>
      <c r="C8" s="39">
        <v>0</v>
      </c>
      <c r="D8" s="39">
        <v>0</v>
      </c>
      <c r="E8" s="39">
        <v>0</v>
      </c>
      <c r="F8" s="39">
        <v>0</v>
      </c>
      <c r="G8" s="39">
        <v>0</v>
      </c>
      <c r="H8" s="39">
        <v>4</v>
      </c>
      <c r="I8" s="39">
        <v>8</v>
      </c>
      <c r="J8" s="39">
        <v>22</v>
      </c>
      <c r="K8" s="39">
        <v>47</v>
      </c>
      <c r="L8" s="40">
        <v>81</v>
      </c>
    </row>
    <row r="9" spans="1:12" ht="15.95" customHeight="1" x14ac:dyDescent="0.3">
      <c r="A9" s="36" t="s">
        <v>60</v>
      </c>
      <c r="B9" s="39">
        <v>0</v>
      </c>
      <c r="C9" s="39">
        <v>0</v>
      </c>
      <c r="D9" s="39">
        <v>0</v>
      </c>
      <c r="E9" s="39">
        <v>1</v>
      </c>
      <c r="F9" s="39">
        <v>1</v>
      </c>
      <c r="G9" s="39">
        <v>3</v>
      </c>
      <c r="H9" s="39">
        <v>3</v>
      </c>
      <c r="I9" s="39">
        <v>12</v>
      </c>
      <c r="J9" s="39">
        <v>38</v>
      </c>
      <c r="K9" s="39">
        <v>41</v>
      </c>
      <c r="L9" s="40">
        <v>99</v>
      </c>
    </row>
    <row r="10" spans="1:12" ht="15.95" customHeight="1" x14ac:dyDescent="0.3">
      <c r="A10" s="36" t="s">
        <v>62</v>
      </c>
      <c r="B10" s="39">
        <v>0</v>
      </c>
      <c r="C10" s="39">
        <v>0</v>
      </c>
      <c r="D10" s="39">
        <v>0</v>
      </c>
      <c r="E10" s="39">
        <v>0</v>
      </c>
      <c r="F10" s="39">
        <v>0</v>
      </c>
      <c r="G10" s="39">
        <v>3</v>
      </c>
      <c r="H10" s="39">
        <v>8</v>
      </c>
      <c r="I10" s="39">
        <v>7</v>
      </c>
      <c r="J10" s="39">
        <v>4</v>
      </c>
      <c r="K10" s="39">
        <v>2</v>
      </c>
      <c r="L10" s="40">
        <v>24</v>
      </c>
    </row>
    <row r="11" spans="1:12" ht="15.95" customHeight="1" x14ac:dyDescent="0.3">
      <c r="A11" s="36" t="s">
        <v>64</v>
      </c>
      <c r="B11" s="39">
        <v>0</v>
      </c>
      <c r="C11" s="39">
        <v>0</v>
      </c>
      <c r="D11" s="39">
        <v>2</v>
      </c>
      <c r="E11" s="39">
        <v>1</v>
      </c>
      <c r="F11" s="39">
        <v>6</v>
      </c>
      <c r="G11" s="39">
        <v>13</v>
      </c>
      <c r="H11" s="39">
        <v>23</v>
      </c>
      <c r="I11" s="39">
        <v>24</v>
      </c>
      <c r="J11" s="39">
        <v>56</v>
      </c>
      <c r="K11" s="39">
        <v>34</v>
      </c>
      <c r="L11" s="40">
        <v>159</v>
      </c>
    </row>
    <row r="12" spans="1:12" ht="15.95" customHeight="1" x14ac:dyDescent="0.3">
      <c r="A12" s="36" t="s">
        <v>66</v>
      </c>
      <c r="B12" s="39">
        <v>0</v>
      </c>
      <c r="C12" s="39">
        <v>0</v>
      </c>
      <c r="D12" s="39">
        <v>1</v>
      </c>
      <c r="E12" s="39">
        <v>0</v>
      </c>
      <c r="F12" s="39">
        <v>0</v>
      </c>
      <c r="G12" s="39">
        <v>1</v>
      </c>
      <c r="H12" s="39">
        <v>2</v>
      </c>
      <c r="I12" s="39">
        <v>8</v>
      </c>
      <c r="J12" s="39">
        <v>32</v>
      </c>
      <c r="K12" s="39">
        <v>39</v>
      </c>
      <c r="L12" s="40">
        <v>83</v>
      </c>
    </row>
    <row r="13" spans="1:12" ht="15.95" customHeight="1" x14ac:dyDescent="0.3">
      <c r="A13" s="36" t="s">
        <v>68</v>
      </c>
      <c r="B13" s="39">
        <v>0</v>
      </c>
      <c r="C13" s="39">
        <v>0</v>
      </c>
      <c r="D13" s="39">
        <v>0</v>
      </c>
      <c r="E13" s="39">
        <v>1</v>
      </c>
      <c r="F13" s="39">
        <v>1</v>
      </c>
      <c r="G13" s="39">
        <v>3</v>
      </c>
      <c r="H13" s="39">
        <v>8</v>
      </c>
      <c r="I13" s="39">
        <v>9</v>
      </c>
      <c r="J13" s="39">
        <v>29</v>
      </c>
      <c r="K13" s="39">
        <v>23</v>
      </c>
      <c r="L13" s="40">
        <v>74</v>
      </c>
    </row>
    <row r="14" spans="1:12" ht="15.95" customHeight="1" x14ac:dyDescent="0.3">
      <c r="A14" s="36" t="s">
        <v>70</v>
      </c>
      <c r="B14" s="39">
        <v>0</v>
      </c>
      <c r="C14" s="39">
        <v>0</v>
      </c>
      <c r="D14" s="39">
        <v>0</v>
      </c>
      <c r="E14" s="39">
        <v>0</v>
      </c>
      <c r="F14" s="39">
        <v>0</v>
      </c>
      <c r="G14" s="39">
        <v>0</v>
      </c>
      <c r="H14" s="39">
        <v>0</v>
      </c>
      <c r="I14" s="39">
        <v>0</v>
      </c>
      <c r="J14" s="39">
        <v>4</v>
      </c>
      <c r="K14" s="39">
        <v>13</v>
      </c>
      <c r="L14" s="40">
        <v>17</v>
      </c>
    </row>
    <row r="15" spans="1:12" ht="15.95" customHeight="1" x14ac:dyDescent="0.3">
      <c r="A15" s="36" t="s">
        <v>72</v>
      </c>
      <c r="B15" s="39">
        <v>0</v>
      </c>
      <c r="C15" s="39">
        <v>0</v>
      </c>
      <c r="D15" s="39">
        <v>0</v>
      </c>
      <c r="E15" s="39">
        <v>0</v>
      </c>
      <c r="F15" s="39">
        <v>1</v>
      </c>
      <c r="G15" s="39">
        <v>1</v>
      </c>
      <c r="H15" s="39">
        <v>3</v>
      </c>
      <c r="I15" s="39">
        <v>9</v>
      </c>
      <c r="J15" s="39">
        <v>22</v>
      </c>
      <c r="K15" s="39">
        <v>18</v>
      </c>
      <c r="L15" s="40">
        <v>54</v>
      </c>
    </row>
    <row r="16" spans="1:12" ht="15.95" customHeight="1" x14ac:dyDescent="0.3">
      <c r="A16" s="36" t="s">
        <v>74</v>
      </c>
      <c r="B16" s="39">
        <v>0</v>
      </c>
      <c r="C16" s="39">
        <v>1</v>
      </c>
      <c r="D16" s="39">
        <v>0</v>
      </c>
      <c r="E16" s="39">
        <v>0</v>
      </c>
      <c r="F16" s="39">
        <v>4</v>
      </c>
      <c r="G16" s="39">
        <v>5</v>
      </c>
      <c r="H16" s="39">
        <v>5</v>
      </c>
      <c r="I16" s="39">
        <v>6</v>
      </c>
      <c r="J16" s="39">
        <v>10</v>
      </c>
      <c r="K16" s="39">
        <v>4</v>
      </c>
      <c r="L16" s="40">
        <v>35</v>
      </c>
    </row>
    <row r="17" spans="1:12" ht="15.95" customHeight="1" x14ac:dyDescent="0.3">
      <c r="A17" s="36" t="s">
        <v>76</v>
      </c>
      <c r="B17" s="39">
        <v>2</v>
      </c>
      <c r="C17" s="39">
        <v>0</v>
      </c>
      <c r="D17" s="39">
        <v>1</v>
      </c>
      <c r="E17" s="39">
        <v>0</v>
      </c>
      <c r="F17" s="39">
        <v>1</v>
      </c>
      <c r="G17" s="39">
        <v>2</v>
      </c>
      <c r="H17" s="39">
        <v>5</v>
      </c>
      <c r="I17" s="39">
        <v>16</v>
      </c>
      <c r="J17" s="39">
        <v>22</v>
      </c>
      <c r="K17" s="39">
        <v>29</v>
      </c>
      <c r="L17" s="40">
        <v>78</v>
      </c>
    </row>
    <row r="18" spans="1:12" ht="15.95" customHeight="1" x14ac:dyDescent="0.3">
      <c r="A18" s="36" t="s">
        <v>78</v>
      </c>
      <c r="B18" s="39">
        <v>2</v>
      </c>
      <c r="C18" s="39">
        <v>4</v>
      </c>
      <c r="D18" s="39">
        <v>1</v>
      </c>
      <c r="E18" s="39">
        <v>4</v>
      </c>
      <c r="F18" s="39">
        <v>5</v>
      </c>
      <c r="G18" s="39">
        <v>14</v>
      </c>
      <c r="H18" s="39">
        <v>18</v>
      </c>
      <c r="I18" s="39">
        <v>33</v>
      </c>
      <c r="J18" s="39">
        <v>63</v>
      </c>
      <c r="K18" s="39">
        <v>45</v>
      </c>
      <c r="L18" s="40">
        <v>189</v>
      </c>
    </row>
    <row r="19" spans="1:12" ht="15.95" customHeight="1" x14ac:dyDescent="0.3">
      <c r="A19" s="36" t="s">
        <v>80</v>
      </c>
      <c r="B19" s="39">
        <v>0</v>
      </c>
      <c r="C19" s="39">
        <v>0</v>
      </c>
      <c r="D19" s="39">
        <v>1</v>
      </c>
      <c r="E19" s="39">
        <v>0</v>
      </c>
      <c r="F19" s="39">
        <v>0</v>
      </c>
      <c r="G19" s="39">
        <v>7</v>
      </c>
      <c r="H19" s="39">
        <v>14</v>
      </c>
      <c r="I19" s="39">
        <v>19</v>
      </c>
      <c r="J19" s="39">
        <v>35</v>
      </c>
      <c r="K19" s="39">
        <v>45</v>
      </c>
      <c r="L19" s="40">
        <v>121</v>
      </c>
    </row>
    <row r="20" spans="1:12" ht="15.95" customHeight="1" x14ac:dyDescent="0.3">
      <c r="A20" s="36" t="s">
        <v>82</v>
      </c>
      <c r="B20" s="39">
        <v>0</v>
      </c>
      <c r="C20" s="39">
        <v>0</v>
      </c>
      <c r="D20" s="39">
        <v>0</v>
      </c>
      <c r="E20" s="39">
        <v>0</v>
      </c>
      <c r="F20" s="39">
        <v>2</v>
      </c>
      <c r="G20" s="39">
        <v>6</v>
      </c>
      <c r="H20" s="39">
        <v>3</v>
      </c>
      <c r="I20" s="39">
        <v>14</v>
      </c>
      <c r="J20" s="39">
        <v>35</v>
      </c>
      <c r="K20" s="39">
        <v>19</v>
      </c>
      <c r="L20" s="40">
        <v>79</v>
      </c>
    </row>
    <row r="21" spans="1:12" ht="15.95" customHeight="1" x14ac:dyDescent="0.3">
      <c r="A21" s="36" t="s">
        <v>84</v>
      </c>
      <c r="B21" s="39">
        <v>1</v>
      </c>
      <c r="C21" s="39">
        <v>1</v>
      </c>
      <c r="D21" s="39">
        <v>2</v>
      </c>
      <c r="E21" s="39">
        <v>2</v>
      </c>
      <c r="F21" s="39">
        <v>6</v>
      </c>
      <c r="G21" s="39">
        <v>14</v>
      </c>
      <c r="H21" s="39">
        <v>17</v>
      </c>
      <c r="I21" s="39">
        <v>51</v>
      </c>
      <c r="J21" s="39">
        <v>66</v>
      </c>
      <c r="K21" s="39">
        <v>25</v>
      </c>
      <c r="L21" s="40">
        <v>185</v>
      </c>
    </row>
    <row r="22" spans="1:12" ht="15.95" customHeight="1" x14ac:dyDescent="0.3">
      <c r="A22" s="36" t="s">
        <v>86</v>
      </c>
      <c r="B22" s="39">
        <v>0</v>
      </c>
      <c r="C22" s="39">
        <v>0</v>
      </c>
      <c r="D22" s="39">
        <v>1</v>
      </c>
      <c r="E22" s="39">
        <v>3</v>
      </c>
      <c r="F22" s="39">
        <v>0</v>
      </c>
      <c r="G22" s="39">
        <v>3</v>
      </c>
      <c r="H22" s="39">
        <v>6</v>
      </c>
      <c r="I22" s="39">
        <v>16</v>
      </c>
      <c r="J22" s="39">
        <v>29</v>
      </c>
      <c r="K22" s="39">
        <v>28</v>
      </c>
      <c r="L22" s="40">
        <v>86</v>
      </c>
    </row>
    <row r="23" spans="1:12" ht="15.95" customHeight="1" x14ac:dyDescent="0.3">
      <c r="A23" s="36" t="s">
        <v>88</v>
      </c>
      <c r="B23" s="39">
        <v>0</v>
      </c>
      <c r="C23" s="39">
        <v>2</v>
      </c>
      <c r="D23" s="39">
        <v>2</v>
      </c>
      <c r="E23" s="39">
        <v>3</v>
      </c>
      <c r="F23" s="39">
        <v>0</v>
      </c>
      <c r="G23" s="39">
        <v>2</v>
      </c>
      <c r="H23" s="39">
        <v>2</v>
      </c>
      <c r="I23" s="39">
        <v>6</v>
      </c>
      <c r="J23" s="39">
        <v>6</v>
      </c>
      <c r="K23" s="39">
        <v>7</v>
      </c>
      <c r="L23" s="40">
        <v>30</v>
      </c>
    </row>
    <row r="24" spans="1:12" ht="15.95" customHeight="1" x14ac:dyDescent="0.3">
      <c r="A24" s="36" t="s">
        <v>90</v>
      </c>
      <c r="B24" s="39">
        <v>0</v>
      </c>
      <c r="C24" s="39">
        <v>0</v>
      </c>
      <c r="D24" s="39">
        <v>0</v>
      </c>
      <c r="E24" s="39">
        <v>0</v>
      </c>
      <c r="F24" s="39">
        <v>1</v>
      </c>
      <c r="G24" s="39">
        <v>1</v>
      </c>
      <c r="H24" s="39">
        <v>4</v>
      </c>
      <c r="I24" s="39">
        <v>9</v>
      </c>
      <c r="J24" s="39">
        <v>56</v>
      </c>
      <c r="K24" s="39">
        <v>40</v>
      </c>
      <c r="L24" s="40">
        <v>111</v>
      </c>
    </row>
    <row r="25" spans="1:12" ht="15.95" customHeight="1" x14ac:dyDescent="0.3">
      <c r="A25" s="36" t="s">
        <v>92</v>
      </c>
      <c r="B25" s="39">
        <v>1</v>
      </c>
      <c r="C25" s="39">
        <v>0</v>
      </c>
      <c r="D25" s="39">
        <v>0</v>
      </c>
      <c r="E25" s="39">
        <v>0</v>
      </c>
      <c r="F25" s="39">
        <v>0</v>
      </c>
      <c r="G25" s="39">
        <v>1</v>
      </c>
      <c r="H25" s="39">
        <v>3</v>
      </c>
      <c r="I25" s="39">
        <v>4</v>
      </c>
      <c r="J25" s="39">
        <v>7</v>
      </c>
      <c r="K25" s="39">
        <v>22</v>
      </c>
      <c r="L25" s="40">
        <v>38</v>
      </c>
    </row>
    <row r="26" spans="1:12" ht="15.95" customHeight="1" x14ac:dyDescent="0.3">
      <c r="A26" s="36" t="s">
        <v>95</v>
      </c>
      <c r="B26" s="39">
        <v>0</v>
      </c>
      <c r="C26" s="39">
        <v>0</v>
      </c>
      <c r="D26" s="39">
        <v>0</v>
      </c>
      <c r="E26" s="39">
        <v>0</v>
      </c>
      <c r="F26" s="39">
        <v>0</v>
      </c>
      <c r="G26" s="39">
        <v>1</v>
      </c>
      <c r="H26" s="39">
        <v>2</v>
      </c>
      <c r="I26" s="39">
        <v>7</v>
      </c>
      <c r="J26" s="39">
        <v>37</v>
      </c>
      <c r="K26" s="39">
        <v>49</v>
      </c>
      <c r="L26" s="40">
        <v>96</v>
      </c>
    </row>
    <row r="27" spans="1:12" ht="15.95" customHeight="1" x14ac:dyDescent="0.3">
      <c r="A27" s="36" t="s">
        <v>97</v>
      </c>
      <c r="B27" s="39">
        <v>0</v>
      </c>
      <c r="C27" s="39">
        <v>0</v>
      </c>
      <c r="D27" s="39">
        <v>0</v>
      </c>
      <c r="E27" s="39">
        <v>1</v>
      </c>
      <c r="F27" s="39">
        <v>0</v>
      </c>
      <c r="G27" s="39">
        <v>2</v>
      </c>
      <c r="H27" s="39">
        <v>1</v>
      </c>
      <c r="I27" s="39">
        <v>6</v>
      </c>
      <c r="J27" s="39">
        <v>13</v>
      </c>
      <c r="K27" s="39">
        <v>20</v>
      </c>
      <c r="L27" s="40">
        <v>43</v>
      </c>
    </row>
    <row r="28" spans="1:12" ht="15.95" customHeight="1" x14ac:dyDescent="0.3">
      <c r="A28" s="36" t="s">
        <v>99</v>
      </c>
      <c r="B28" s="39">
        <v>0</v>
      </c>
      <c r="C28" s="39">
        <v>0</v>
      </c>
      <c r="D28" s="39">
        <v>0</v>
      </c>
      <c r="E28" s="39">
        <v>0</v>
      </c>
      <c r="F28" s="39">
        <v>0</v>
      </c>
      <c r="G28" s="39">
        <v>0</v>
      </c>
      <c r="H28" s="39">
        <v>1</v>
      </c>
      <c r="I28" s="39">
        <v>7</v>
      </c>
      <c r="J28" s="39">
        <v>40</v>
      </c>
      <c r="K28" s="39">
        <v>38</v>
      </c>
      <c r="L28" s="40">
        <v>86</v>
      </c>
    </row>
    <row r="29" spans="1:12" ht="15.95" customHeight="1" x14ac:dyDescent="0.3">
      <c r="A29" s="36" t="s">
        <v>101</v>
      </c>
      <c r="B29" s="39">
        <v>0</v>
      </c>
      <c r="C29" s="39">
        <v>0</v>
      </c>
      <c r="D29" s="39">
        <v>0</v>
      </c>
      <c r="E29" s="39">
        <v>0</v>
      </c>
      <c r="F29" s="39">
        <v>0</v>
      </c>
      <c r="G29" s="39">
        <v>0</v>
      </c>
      <c r="H29" s="39">
        <v>0</v>
      </c>
      <c r="I29" s="39">
        <v>0</v>
      </c>
      <c r="J29" s="39">
        <v>5</v>
      </c>
      <c r="K29" s="39">
        <v>16</v>
      </c>
      <c r="L29" s="40">
        <v>21</v>
      </c>
    </row>
    <row r="30" spans="1:12" ht="15.95" customHeight="1" x14ac:dyDescent="0.3">
      <c r="A30" s="36" t="s">
        <v>103</v>
      </c>
      <c r="B30" s="39">
        <v>0</v>
      </c>
      <c r="C30" s="39">
        <v>1</v>
      </c>
      <c r="D30" s="39">
        <v>1</v>
      </c>
      <c r="E30" s="39">
        <v>2</v>
      </c>
      <c r="F30" s="39">
        <v>4</v>
      </c>
      <c r="G30" s="39">
        <v>7</v>
      </c>
      <c r="H30" s="39">
        <v>15</v>
      </c>
      <c r="I30" s="39">
        <v>20</v>
      </c>
      <c r="J30" s="39">
        <v>76</v>
      </c>
      <c r="K30" s="39">
        <v>110</v>
      </c>
      <c r="L30" s="40">
        <v>236</v>
      </c>
    </row>
    <row r="31" spans="1:12" ht="15.95" customHeight="1" x14ac:dyDescent="0.3">
      <c r="A31" s="36" t="s">
        <v>106</v>
      </c>
      <c r="B31" s="39">
        <v>0</v>
      </c>
      <c r="C31" s="39">
        <v>0</v>
      </c>
      <c r="D31" s="39">
        <v>0</v>
      </c>
      <c r="E31" s="39">
        <v>0</v>
      </c>
      <c r="F31" s="39">
        <v>0</v>
      </c>
      <c r="G31" s="39">
        <v>0</v>
      </c>
      <c r="H31" s="39">
        <v>0</v>
      </c>
      <c r="I31" s="39">
        <v>4</v>
      </c>
      <c r="J31" s="39">
        <v>44</v>
      </c>
      <c r="K31" s="39">
        <v>145</v>
      </c>
      <c r="L31" s="40">
        <v>193</v>
      </c>
    </row>
    <row r="32" spans="1:12" ht="15.95" customHeight="1" x14ac:dyDescent="0.3">
      <c r="A32" s="36" t="s">
        <v>109</v>
      </c>
      <c r="B32" s="39">
        <v>0</v>
      </c>
      <c r="C32" s="39">
        <v>0</v>
      </c>
      <c r="D32" s="39">
        <v>0</v>
      </c>
      <c r="E32" s="39">
        <v>0</v>
      </c>
      <c r="F32" s="39">
        <v>0</v>
      </c>
      <c r="G32" s="39">
        <v>3</v>
      </c>
      <c r="H32" s="39">
        <v>5</v>
      </c>
      <c r="I32" s="39">
        <v>12</v>
      </c>
      <c r="J32" s="39">
        <v>22</v>
      </c>
      <c r="K32" s="39">
        <v>73</v>
      </c>
      <c r="L32" s="40">
        <v>115</v>
      </c>
    </row>
    <row r="33" spans="1:12" ht="15.95" customHeight="1" x14ac:dyDescent="0.3">
      <c r="A33" s="36" t="s">
        <v>112</v>
      </c>
      <c r="B33" s="39">
        <v>0</v>
      </c>
      <c r="C33" s="39">
        <v>0</v>
      </c>
      <c r="D33" s="39">
        <v>1</v>
      </c>
      <c r="E33" s="39">
        <v>0</v>
      </c>
      <c r="F33" s="39">
        <v>1</v>
      </c>
      <c r="G33" s="39">
        <v>5</v>
      </c>
      <c r="H33" s="39">
        <v>15</v>
      </c>
      <c r="I33" s="39">
        <v>20</v>
      </c>
      <c r="J33" s="39">
        <v>63</v>
      </c>
      <c r="K33" s="39">
        <v>68</v>
      </c>
      <c r="L33" s="40">
        <v>173</v>
      </c>
    </row>
    <row r="34" spans="1:12" ht="15.95" customHeight="1" x14ac:dyDescent="0.3">
      <c r="A34" s="36" t="s">
        <v>114</v>
      </c>
      <c r="B34" s="39">
        <v>0</v>
      </c>
      <c r="C34" s="39">
        <v>0</v>
      </c>
      <c r="D34" s="39">
        <v>0</v>
      </c>
      <c r="E34" s="39">
        <v>0</v>
      </c>
      <c r="F34" s="39">
        <v>0</v>
      </c>
      <c r="G34" s="39">
        <v>0</v>
      </c>
      <c r="H34" s="39">
        <v>1</v>
      </c>
      <c r="I34" s="39">
        <v>0</v>
      </c>
      <c r="J34" s="39">
        <v>2</v>
      </c>
      <c r="K34" s="39">
        <v>37</v>
      </c>
      <c r="L34" s="40">
        <v>40</v>
      </c>
    </row>
    <row r="35" spans="1:12" ht="15.95" customHeight="1" x14ac:dyDescent="0.3">
      <c r="A35" s="36" t="s">
        <v>117</v>
      </c>
      <c r="B35" s="39">
        <v>0</v>
      </c>
      <c r="C35" s="39">
        <v>0</v>
      </c>
      <c r="D35" s="39">
        <v>0</v>
      </c>
      <c r="E35" s="39">
        <v>0</v>
      </c>
      <c r="F35" s="39">
        <v>0</v>
      </c>
      <c r="G35" s="39">
        <v>1</v>
      </c>
      <c r="H35" s="39">
        <v>1</v>
      </c>
      <c r="I35" s="39">
        <v>2</v>
      </c>
      <c r="J35" s="39">
        <v>19</v>
      </c>
      <c r="K35" s="39">
        <v>95</v>
      </c>
      <c r="L35" s="40">
        <v>118</v>
      </c>
    </row>
    <row r="36" spans="1:12" ht="15.95" customHeight="1" x14ac:dyDescent="0.3">
      <c r="A36" s="36" t="s">
        <v>120</v>
      </c>
      <c r="B36" s="39">
        <v>0</v>
      </c>
      <c r="C36" s="39">
        <v>0</v>
      </c>
      <c r="D36" s="39">
        <v>0</v>
      </c>
      <c r="E36" s="39">
        <v>1</v>
      </c>
      <c r="F36" s="39">
        <v>2</v>
      </c>
      <c r="G36" s="39">
        <v>8</v>
      </c>
      <c r="H36" s="39">
        <v>16</v>
      </c>
      <c r="I36" s="39">
        <v>48</v>
      </c>
      <c r="J36" s="39">
        <v>75</v>
      </c>
      <c r="K36" s="39">
        <v>27</v>
      </c>
      <c r="L36" s="40">
        <v>177</v>
      </c>
    </row>
    <row r="37" spans="1:12" ht="15.95" customHeight="1" x14ac:dyDescent="0.3">
      <c r="A37" s="36" t="s">
        <v>123</v>
      </c>
      <c r="B37" s="39">
        <v>0</v>
      </c>
      <c r="C37" s="39">
        <v>0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3</v>
      </c>
      <c r="J37" s="39">
        <v>20</v>
      </c>
      <c r="K37" s="39">
        <v>330</v>
      </c>
      <c r="L37" s="40">
        <v>353</v>
      </c>
    </row>
    <row r="38" spans="1:12" ht="15.95" customHeight="1" x14ac:dyDescent="0.3">
      <c r="A38" s="36" t="s">
        <v>125</v>
      </c>
      <c r="B38" s="39">
        <v>0</v>
      </c>
      <c r="C38" s="39">
        <v>0</v>
      </c>
      <c r="D38" s="39">
        <v>0</v>
      </c>
      <c r="E38" s="39">
        <v>0</v>
      </c>
      <c r="F38" s="39">
        <v>0</v>
      </c>
      <c r="G38" s="39">
        <v>3</v>
      </c>
      <c r="H38" s="39">
        <v>3</v>
      </c>
      <c r="I38" s="39">
        <v>9</v>
      </c>
      <c r="J38" s="39">
        <v>79</v>
      </c>
      <c r="K38" s="39">
        <v>446</v>
      </c>
      <c r="L38" s="40">
        <v>540</v>
      </c>
    </row>
    <row r="39" spans="1:12" ht="15.95" customHeight="1" x14ac:dyDescent="0.3">
      <c r="A39" s="36" t="s">
        <v>127</v>
      </c>
      <c r="B39" s="39">
        <v>0</v>
      </c>
      <c r="C39" s="39">
        <v>0</v>
      </c>
      <c r="D39" s="39">
        <v>0</v>
      </c>
      <c r="E39" s="39">
        <v>0</v>
      </c>
      <c r="F39" s="39">
        <v>0</v>
      </c>
      <c r="G39" s="39">
        <v>0</v>
      </c>
      <c r="H39" s="39">
        <v>1</v>
      </c>
      <c r="I39" s="39">
        <v>0</v>
      </c>
      <c r="J39" s="39">
        <v>7</v>
      </c>
      <c r="K39" s="39">
        <v>125</v>
      </c>
      <c r="L39" s="40">
        <v>133</v>
      </c>
    </row>
    <row r="40" spans="1:12" ht="15.95" customHeight="1" x14ac:dyDescent="0.3">
      <c r="A40" s="36" t="s">
        <v>129</v>
      </c>
      <c r="B40" s="39">
        <v>0</v>
      </c>
      <c r="C40" s="39">
        <v>0</v>
      </c>
      <c r="D40" s="39">
        <v>0</v>
      </c>
      <c r="E40" s="39">
        <v>0</v>
      </c>
      <c r="F40" s="39">
        <v>1</v>
      </c>
      <c r="G40" s="39">
        <v>1</v>
      </c>
      <c r="H40" s="39">
        <v>3</v>
      </c>
      <c r="I40" s="39">
        <v>18</v>
      </c>
      <c r="J40" s="39">
        <v>38</v>
      </c>
      <c r="K40" s="39">
        <v>54</v>
      </c>
      <c r="L40" s="40">
        <v>115</v>
      </c>
    </row>
    <row r="41" spans="1:12" ht="15.95" customHeight="1" x14ac:dyDescent="0.3">
      <c r="A41" s="36" t="s">
        <v>132</v>
      </c>
      <c r="B41" s="39">
        <v>0</v>
      </c>
      <c r="C41" s="39">
        <v>0</v>
      </c>
      <c r="D41" s="39">
        <v>1</v>
      </c>
      <c r="E41" s="39">
        <v>1</v>
      </c>
      <c r="F41" s="39">
        <v>1</v>
      </c>
      <c r="G41" s="39">
        <v>3</v>
      </c>
      <c r="H41" s="39">
        <v>2</v>
      </c>
      <c r="I41" s="39">
        <v>8</v>
      </c>
      <c r="J41" s="39">
        <v>35</v>
      </c>
      <c r="K41" s="39">
        <v>42</v>
      </c>
      <c r="L41" s="40">
        <v>93</v>
      </c>
    </row>
    <row r="42" spans="1:12" ht="15.95" customHeight="1" x14ac:dyDescent="0.3">
      <c r="A42" s="36" t="s">
        <v>135</v>
      </c>
      <c r="B42" s="39">
        <v>0</v>
      </c>
      <c r="C42" s="39">
        <v>0</v>
      </c>
      <c r="D42" s="39">
        <v>0</v>
      </c>
      <c r="E42" s="39">
        <v>0</v>
      </c>
      <c r="F42" s="39">
        <v>0</v>
      </c>
      <c r="G42" s="39">
        <v>0</v>
      </c>
      <c r="H42" s="39">
        <v>1</v>
      </c>
      <c r="I42" s="39">
        <v>2</v>
      </c>
      <c r="J42" s="39">
        <v>18</v>
      </c>
      <c r="K42" s="39">
        <v>24</v>
      </c>
      <c r="L42" s="40">
        <v>45</v>
      </c>
    </row>
    <row r="43" spans="1:12" ht="15.95" customHeight="1" x14ac:dyDescent="0.3">
      <c r="A43" s="36" t="s">
        <v>137</v>
      </c>
      <c r="B43" s="39">
        <v>0</v>
      </c>
      <c r="C43" s="39">
        <v>0</v>
      </c>
      <c r="D43" s="39">
        <v>0</v>
      </c>
      <c r="E43" s="39">
        <v>0</v>
      </c>
      <c r="F43" s="39">
        <v>0</v>
      </c>
      <c r="G43" s="39">
        <v>1</v>
      </c>
      <c r="H43" s="39">
        <v>5</v>
      </c>
      <c r="I43" s="39">
        <v>10</v>
      </c>
      <c r="J43" s="39">
        <v>38</v>
      </c>
      <c r="K43" s="39">
        <v>177</v>
      </c>
      <c r="L43" s="40">
        <v>231</v>
      </c>
    </row>
    <row r="44" spans="1:12" ht="15.95" customHeight="1" x14ac:dyDescent="0.3">
      <c r="A44" s="36" t="s">
        <v>139</v>
      </c>
      <c r="B44" s="39">
        <v>0</v>
      </c>
      <c r="C44" s="39">
        <v>0</v>
      </c>
      <c r="D44" s="39">
        <v>1</v>
      </c>
      <c r="E44" s="39">
        <v>0</v>
      </c>
      <c r="F44" s="39">
        <v>2</v>
      </c>
      <c r="G44" s="39">
        <v>3</v>
      </c>
      <c r="H44" s="39">
        <v>6</v>
      </c>
      <c r="I44" s="39">
        <v>10</v>
      </c>
      <c r="J44" s="39">
        <v>60</v>
      </c>
      <c r="K44" s="39">
        <v>160</v>
      </c>
      <c r="L44" s="40">
        <v>242</v>
      </c>
    </row>
    <row r="45" spans="1:12" ht="15.95" customHeight="1" x14ac:dyDescent="0.3">
      <c r="A45" s="36" t="s">
        <v>142</v>
      </c>
      <c r="B45" s="39">
        <v>0</v>
      </c>
      <c r="C45" s="39">
        <v>0</v>
      </c>
      <c r="D45" s="39">
        <v>0</v>
      </c>
      <c r="E45" s="39">
        <v>0</v>
      </c>
      <c r="F45" s="39">
        <v>0</v>
      </c>
      <c r="G45" s="39">
        <v>0</v>
      </c>
      <c r="H45" s="39">
        <v>0</v>
      </c>
      <c r="I45" s="39">
        <v>2</v>
      </c>
      <c r="J45" s="39">
        <v>3</v>
      </c>
      <c r="K45" s="39">
        <v>23</v>
      </c>
      <c r="L45" s="40">
        <v>28</v>
      </c>
    </row>
    <row r="46" spans="1:12" ht="15.95" customHeight="1" x14ac:dyDescent="0.3">
      <c r="A46" s="36" t="s">
        <v>144</v>
      </c>
      <c r="B46" s="39">
        <v>0</v>
      </c>
      <c r="C46" s="39">
        <v>0</v>
      </c>
      <c r="D46" s="39">
        <v>0</v>
      </c>
      <c r="E46" s="39">
        <v>1</v>
      </c>
      <c r="F46" s="39">
        <v>0</v>
      </c>
      <c r="G46" s="39">
        <v>5</v>
      </c>
      <c r="H46" s="39">
        <v>14</v>
      </c>
      <c r="I46" s="39">
        <v>50</v>
      </c>
      <c r="J46" s="39">
        <v>104</v>
      </c>
      <c r="K46" s="39">
        <v>121</v>
      </c>
      <c r="L46" s="40">
        <v>295</v>
      </c>
    </row>
    <row r="47" spans="1:12" ht="15.95" customHeight="1" x14ac:dyDescent="0.3">
      <c r="A47" s="36" t="s">
        <v>146</v>
      </c>
      <c r="B47" s="39">
        <v>0</v>
      </c>
      <c r="C47" s="39">
        <v>0</v>
      </c>
      <c r="D47" s="39">
        <v>0</v>
      </c>
      <c r="E47" s="39">
        <v>1</v>
      </c>
      <c r="F47" s="39">
        <v>1</v>
      </c>
      <c r="G47" s="39">
        <v>6</v>
      </c>
      <c r="H47" s="39">
        <v>26</v>
      </c>
      <c r="I47" s="39">
        <v>75</v>
      </c>
      <c r="J47" s="39">
        <v>291</v>
      </c>
      <c r="K47" s="39">
        <v>258</v>
      </c>
      <c r="L47" s="40">
        <v>658</v>
      </c>
    </row>
    <row r="48" spans="1:12" ht="15.95" customHeight="1" x14ac:dyDescent="0.3">
      <c r="A48" s="36" t="s">
        <v>149</v>
      </c>
      <c r="B48" s="39">
        <v>0</v>
      </c>
      <c r="C48" s="39">
        <v>0</v>
      </c>
      <c r="D48" s="39">
        <v>0</v>
      </c>
      <c r="E48" s="39">
        <v>1</v>
      </c>
      <c r="F48" s="39">
        <v>0</v>
      </c>
      <c r="G48" s="39">
        <v>0</v>
      </c>
      <c r="H48" s="39">
        <v>0</v>
      </c>
      <c r="I48" s="39">
        <v>2</v>
      </c>
      <c r="J48" s="39">
        <v>20</v>
      </c>
      <c r="K48" s="39">
        <v>18</v>
      </c>
      <c r="L48" s="40">
        <v>41</v>
      </c>
    </row>
    <row r="49" spans="1:12" ht="15.95" customHeight="1" x14ac:dyDescent="0.3">
      <c r="A49" s="36" t="s">
        <v>151</v>
      </c>
      <c r="B49" s="39">
        <v>1</v>
      </c>
      <c r="C49" s="39">
        <v>0</v>
      </c>
      <c r="D49" s="39">
        <v>0</v>
      </c>
      <c r="E49" s="39">
        <v>3</v>
      </c>
      <c r="F49" s="39">
        <v>8</v>
      </c>
      <c r="G49" s="39">
        <v>12</v>
      </c>
      <c r="H49" s="39">
        <v>12</v>
      </c>
      <c r="I49" s="39">
        <v>24</v>
      </c>
      <c r="J49" s="39">
        <v>44</v>
      </c>
      <c r="K49" s="39">
        <v>107</v>
      </c>
      <c r="L49" s="40">
        <v>211</v>
      </c>
    </row>
    <row r="50" spans="1:12" ht="15.95" customHeight="1" x14ac:dyDescent="0.3">
      <c r="A50" s="36" t="s">
        <v>153</v>
      </c>
      <c r="B50" s="39">
        <v>0</v>
      </c>
      <c r="C50" s="39">
        <v>0</v>
      </c>
      <c r="D50" s="39">
        <v>1</v>
      </c>
      <c r="E50" s="39">
        <v>2</v>
      </c>
      <c r="F50" s="39">
        <v>2</v>
      </c>
      <c r="G50" s="39">
        <v>5</v>
      </c>
      <c r="H50" s="39">
        <v>3</v>
      </c>
      <c r="I50" s="39">
        <v>16</v>
      </c>
      <c r="J50" s="39">
        <v>21</v>
      </c>
      <c r="K50" s="39">
        <v>2</v>
      </c>
      <c r="L50" s="40">
        <v>52</v>
      </c>
    </row>
    <row r="51" spans="1:12" ht="15.95" customHeight="1" x14ac:dyDescent="0.3">
      <c r="A51" s="36" t="s">
        <v>156</v>
      </c>
      <c r="B51" s="39">
        <v>0</v>
      </c>
      <c r="C51" s="39">
        <v>0</v>
      </c>
      <c r="D51" s="39">
        <v>1</v>
      </c>
      <c r="E51" s="39">
        <v>0</v>
      </c>
      <c r="F51" s="39">
        <v>1</v>
      </c>
      <c r="G51" s="39">
        <v>0</v>
      </c>
      <c r="H51" s="39">
        <v>0</v>
      </c>
      <c r="I51" s="39">
        <v>4</v>
      </c>
      <c r="J51" s="39">
        <v>22</v>
      </c>
      <c r="K51" s="39">
        <v>69</v>
      </c>
      <c r="L51" s="40">
        <v>97</v>
      </c>
    </row>
    <row r="52" spans="1:12" ht="15.95" customHeight="1" x14ac:dyDescent="0.3">
      <c r="A52" s="36" t="s">
        <v>158</v>
      </c>
      <c r="B52" s="39">
        <v>0</v>
      </c>
      <c r="C52" s="39">
        <v>0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9</v>
      </c>
      <c r="K52" s="39">
        <v>35</v>
      </c>
      <c r="L52" s="40">
        <v>44</v>
      </c>
    </row>
    <row r="53" spans="1:12" ht="15.95" customHeight="1" x14ac:dyDescent="0.3">
      <c r="A53" s="36" t="s">
        <v>160</v>
      </c>
      <c r="B53" s="39">
        <v>0</v>
      </c>
      <c r="C53" s="39">
        <v>0</v>
      </c>
      <c r="D53" s="39">
        <v>0</v>
      </c>
      <c r="E53" s="39">
        <v>0</v>
      </c>
      <c r="F53" s="39">
        <v>0</v>
      </c>
      <c r="G53" s="39">
        <v>0</v>
      </c>
      <c r="H53" s="39">
        <v>0</v>
      </c>
      <c r="I53" s="39">
        <v>0</v>
      </c>
      <c r="J53" s="39">
        <v>9</v>
      </c>
      <c r="K53" s="39">
        <v>15</v>
      </c>
      <c r="L53" s="40">
        <v>24</v>
      </c>
    </row>
    <row r="54" spans="1:12" ht="15.95" customHeight="1" x14ac:dyDescent="0.3">
      <c r="A54" s="36" t="s">
        <v>163</v>
      </c>
      <c r="B54" s="39">
        <v>0</v>
      </c>
      <c r="C54" s="39">
        <v>0</v>
      </c>
      <c r="D54" s="39">
        <v>0</v>
      </c>
      <c r="E54" s="39">
        <v>0</v>
      </c>
      <c r="F54" s="39">
        <v>0</v>
      </c>
      <c r="G54" s="39">
        <v>1</v>
      </c>
      <c r="H54" s="39">
        <v>1</v>
      </c>
      <c r="I54" s="39">
        <v>0</v>
      </c>
      <c r="J54" s="39">
        <v>17</v>
      </c>
      <c r="K54" s="39">
        <v>27</v>
      </c>
      <c r="L54" s="40">
        <v>46</v>
      </c>
    </row>
    <row r="55" spans="1:12" ht="15.95" customHeight="1" x14ac:dyDescent="0.3">
      <c r="A55" s="36" t="s">
        <v>166</v>
      </c>
      <c r="B55" s="39">
        <v>0</v>
      </c>
      <c r="C55" s="39">
        <v>0</v>
      </c>
      <c r="D55" s="39">
        <v>0</v>
      </c>
      <c r="E55" s="39">
        <v>0</v>
      </c>
      <c r="F55" s="39">
        <v>0</v>
      </c>
      <c r="G55" s="39">
        <v>0</v>
      </c>
      <c r="H55" s="39">
        <v>0</v>
      </c>
      <c r="I55" s="39">
        <v>2</v>
      </c>
      <c r="J55" s="39">
        <v>39</v>
      </c>
      <c r="K55" s="39">
        <v>20</v>
      </c>
      <c r="L55" s="40">
        <v>61</v>
      </c>
    </row>
    <row r="56" spans="1:12" ht="15.95" customHeight="1" x14ac:dyDescent="0.3">
      <c r="A56" s="36" t="s">
        <v>168</v>
      </c>
      <c r="B56" s="39">
        <v>0</v>
      </c>
      <c r="C56" s="39">
        <v>0</v>
      </c>
      <c r="D56" s="39">
        <v>0</v>
      </c>
      <c r="E56" s="39">
        <v>0</v>
      </c>
      <c r="F56" s="39">
        <v>0</v>
      </c>
      <c r="G56" s="39">
        <v>1</v>
      </c>
      <c r="H56" s="39">
        <v>1</v>
      </c>
      <c r="I56" s="39">
        <v>1</v>
      </c>
      <c r="J56" s="39">
        <v>17</v>
      </c>
      <c r="K56" s="39">
        <v>7</v>
      </c>
      <c r="L56" s="40">
        <v>27</v>
      </c>
    </row>
    <row r="57" spans="1:12" ht="15.95" customHeight="1" x14ac:dyDescent="0.3">
      <c r="A57" s="36" t="s">
        <v>170</v>
      </c>
      <c r="B57" s="39">
        <v>0</v>
      </c>
      <c r="C57" s="39">
        <v>0</v>
      </c>
      <c r="D57" s="39">
        <v>1</v>
      </c>
      <c r="E57" s="39">
        <v>0</v>
      </c>
      <c r="F57" s="39">
        <v>0</v>
      </c>
      <c r="G57" s="39">
        <v>4</v>
      </c>
      <c r="H57" s="39">
        <v>2</v>
      </c>
      <c r="I57" s="39">
        <v>8</v>
      </c>
      <c r="J57" s="39">
        <v>4</v>
      </c>
      <c r="K57" s="39">
        <v>3</v>
      </c>
      <c r="L57" s="40">
        <v>22</v>
      </c>
    </row>
    <row r="58" spans="1:12" ht="15.95" customHeight="1" x14ac:dyDescent="0.3">
      <c r="A58" s="36" t="s">
        <v>172</v>
      </c>
      <c r="B58" s="39">
        <v>0</v>
      </c>
      <c r="C58" s="39">
        <v>0</v>
      </c>
      <c r="D58" s="39">
        <v>0</v>
      </c>
      <c r="E58" s="39">
        <v>0</v>
      </c>
      <c r="F58" s="39">
        <v>0</v>
      </c>
      <c r="G58" s="39">
        <v>0</v>
      </c>
      <c r="H58" s="39">
        <v>1</v>
      </c>
      <c r="I58" s="39">
        <v>2</v>
      </c>
      <c r="J58" s="39">
        <v>8</v>
      </c>
      <c r="K58" s="39">
        <v>4</v>
      </c>
      <c r="L58" s="40">
        <v>15</v>
      </c>
    </row>
    <row r="59" spans="1:12" ht="15.95" customHeight="1" x14ac:dyDescent="0.3">
      <c r="A59" s="36" t="s">
        <v>175</v>
      </c>
      <c r="B59" s="39">
        <v>0</v>
      </c>
      <c r="C59" s="39">
        <v>0</v>
      </c>
      <c r="D59" s="39">
        <v>0</v>
      </c>
      <c r="E59" s="39">
        <v>0</v>
      </c>
      <c r="F59" s="39">
        <v>0</v>
      </c>
      <c r="G59" s="39">
        <v>2</v>
      </c>
      <c r="H59" s="39">
        <v>2</v>
      </c>
      <c r="I59" s="39">
        <v>6</v>
      </c>
      <c r="J59" s="39">
        <v>29</v>
      </c>
      <c r="K59" s="39">
        <v>84</v>
      </c>
      <c r="L59" s="40">
        <v>123</v>
      </c>
    </row>
    <row r="60" spans="1:12" ht="15.95" customHeight="1" x14ac:dyDescent="0.3">
      <c r="A60" s="36" t="s">
        <v>177</v>
      </c>
      <c r="B60" s="39">
        <v>0</v>
      </c>
      <c r="C60" s="39">
        <v>0</v>
      </c>
      <c r="D60" s="39">
        <v>0</v>
      </c>
      <c r="E60" s="39">
        <v>0</v>
      </c>
      <c r="F60" s="39">
        <v>0</v>
      </c>
      <c r="G60" s="39">
        <v>0</v>
      </c>
      <c r="H60" s="39">
        <v>1</v>
      </c>
      <c r="I60" s="39">
        <v>1</v>
      </c>
      <c r="J60" s="39">
        <v>2</v>
      </c>
      <c r="K60" s="39">
        <v>51</v>
      </c>
      <c r="L60" s="40">
        <v>55</v>
      </c>
    </row>
    <row r="61" spans="1:12" ht="15.95" customHeight="1" x14ac:dyDescent="0.3">
      <c r="A61" s="36" t="s">
        <v>179</v>
      </c>
      <c r="B61" s="39">
        <v>0</v>
      </c>
      <c r="C61" s="39">
        <v>0</v>
      </c>
      <c r="D61" s="39">
        <v>0</v>
      </c>
      <c r="E61" s="39">
        <v>0</v>
      </c>
      <c r="F61" s="39">
        <v>0</v>
      </c>
      <c r="G61" s="39">
        <v>0</v>
      </c>
      <c r="H61" s="39">
        <v>1</v>
      </c>
      <c r="I61" s="39">
        <v>1</v>
      </c>
      <c r="J61" s="39">
        <v>5</v>
      </c>
      <c r="K61" s="39">
        <v>24</v>
      </c>
      <c r="L61" s="40">
        <v>31</v>
      </c>
    </row>
    <row r="62" spans="1:12" ht="15.95" customHeight="1" x14ac:dyDescent="0.3">
      <c r="A62" s="36" t="s">
        <v>182</v>
      </c>
      <c r="B62" s="39">
        <v>1</v>
      </c>
      <c r="C62" s="39">
        <v>0</v>
      </c>
      <c r="D62" s="39">
        <v>0</v>
      </c>
      <c r="E62" s="39">
        <v>0</v>
      </c>
      <c r="F62" s="39">
        <v>0</v>
      </c>
      <c r="G62" s="39">
        <v>9</v>
      </c>
      <c r="H62" s="39">
        <v>6</v>
      </c>
      <c r="I62" s="39">
        <v>17</v>
      </c>
      <c r="J62" s="39">
        <v>43</v>
      </c>
      <c r="K62" s="39">
        <v>24</v>
      </c>
      <c r="L62" s="40">
        <v>100</v>
      </c>
    </row>
    <row r="63" spans="1:12" ht="15.95" customHeight="1" x14ac:dyDescent="0.3">
      <c r="A63" s="36" t="s">
        <v>185</v>
      </c>
      <c r="B63" s="39">
        <v>0</v>
      </c>
      <c r="C63" s="39">
        <v>0</v>
      </c>
      <c r="D63" s="39">
        <v>0</v>
      </c>
      <c r="E63" s="39">
        <v>0</v>
      </c>
      <c r="F63" s="39">
        <v>0</v>
      </c>
      <c r="G63" s="39">
        <v>3</v>
      </c>
      <c r="H63" s="39">
        <v>1</v>
      </c>
      <c r="I63" s="39">
        <v>2</v>
      </c>
      <c r="J63" s="39">
        <v>7</v>
      </c>
      <c r="K63" s="39">
        <v>6</v>
      </c>
      <c r="L63" s="40">
        <v>19</v>
      </c>
    </row>
    <row r="64" spans="1:12" ht="15.95" customHeight="1" x14ac:dyDescent="0.3">
      <c r="A64" s="36" t="s">
        <v>188</v>
      </c>
      <c r="B64" s="39">
        <v>0</v>
      </c>
      <c r="C64" s="39">
        <v>0</v>
      </c>
      <c r="D64" s="39">
        <v>0</v>
      </c>
      <c r="E64" s="39">
        <v>0</v>
      </c>
      <c r="F64" s="39">
        <v>0</v>
      </c>
      <c r="G64" s="39">
        <v>1</v>
      </c>
      <c r="H64" s="39">
        <v>0</v>
      </c>
      <c r="I64" s="39">
        <v>4</v>
      </c>
      <c r="J64" s="39">
        <v>17</v>
      </c>
      <c r="K64" s="39">
        <v>30</v>
      </c>
      <c r="L64" s="40">
        <v>52</v>
      </c>
    </row>
    <row r="65" spans="1:12" ht="15.95" customHeight="1" x14ac:dyDescent="0.3">
      <c r="A65" s="36" t="s">
        <v>191</v>
      </c>
      <c r="B65" s="39">
        <v>0</v>
      </c>
      <c r="C65" s="39">
        <v>1</v>
      </c>
      <c r="D65" s="39">
        <v>1</v>
      </c>
      <c r="E65" s="39">
        <v>0</v>
      </c>
      <c r="F65" s="39">
        <v>2</v>
      </c>
      <c r="G65" s="39">
        <v>9</v>
      </c>
      <c r="H65" s="39">
        <v>12</v>
      </c>
      <c r="I65" s="39">
        <v>15</v>
      </c>
      <c r="J65" s="39">
        <v>62</v>
      </c>
      <c r="K65" s="39">
        <v>76</v>
      </c>
      <c r="L65" s="40">
        <v>178</v>
      </c>
    </row>
    <row r="66" spans="1:12" ht="15.95" customHeight="1" x14ac:dyDescent="0.3">
      <c r="A66" s="36" t="s">
        <v>194</v>
      </c>
      <c r="B66" s="39">
        <v>2</v>
      </c>
      <c r="C66" s="39">
        <v>0</v>
      </c>
      <c r="D66" s="39">
        <v>3</v>
      </c>
      <c r="E66" s="39">
        <v>1</v>
      </c>
      <c r="F66" s="39">
        <v>4</v>
      </c>
      <c r="G66" s="39">
        <v>6</v>
      </c>
      <c r="H66" s="39">
        <v>10</v>
      </c>
      <c r="I66" s="39">
        <v>11</v>
      </c>
      <c r="J66" s="39">
        <v>23</v>
      </c>
      <c r="K66" s="39">
        <v>17</v>
      </c>
      <c r="L66" s="40">
        <v>77</v>
      </c>
    </row>
    <row r="67" spans="1:12" ht="15.95" customHeight="1" x14ac:dyDescent="0.3">
      <c r="A67" s="36" t="s">
        <v>196</v>
      </c>
      <c r="B67" s="39">
        <v>0</v>
      </c>
      <c r="C67" s="39">
        <v>0</v>
      </c>
      <c r="D67" s="39">
        <v>0</v>
      </c>
      <c r="E67" s="39">
        <v>0</v>
      </c>
      <c r="F67" s="39">
        <v>0</v>
      </c>
      <c r="G67" s="39">
        <v>0</v>
      </c>
      <c r="H67" s="39">
        <v>0</v>
      </c>
      <c r="I67" s="39">
        <v>0</v>
      </c>
      <c r="J67" s="39">
        <v>0</v>
      </c>
      <c r="K67" s="39">
        <v>29</v>
      </c>
      <c r="L67" s="40">
        <v>29</v>
      </c>
    </row>
    <row r="68" spans="1:12" ht="15.95" customHeight="1" x14ac:dyDescent="0.3">
      <c r="A68" s="36" t="s">
        <v>198</v>
      </c>
      <c r="B68" s="39">
        <v>0</v>
      </c>
      <c r="C68" s="39">
        <v>0</v>
      </c>
      <c r="D68" s="39">
        <v>0</v>
      </c>
      <c r="E68" s="39">
        <v>0</v>
      </c>
      <c r="F68" s="39">
        <v>0</v>
      </c>
      <c r="G68" s="39">
        <v>0</v>
      </c>
      <c r="H68" s="39">
        <v>0</v>
      </c>
      <c r="I68" s="39">
        <v>2</v>
      </c>
      <c r="J68" s="39">
        <v>7</v>
      </c>
      <c r="K68" s="39">
        <v>20</v>
      </c>
      <c r="L68" s="40">
        <v>29</v>
      </c>
    </row>
    <row r="69" spans="1:12" ht="15.95" customHeight="1" x14ac:dyDescent="0.3">
      <c r="A69" s="36" t="s">
        <v>200</v>
      </c>
      <c r="B69" s="39">
        <v>0</v>
      </c>
      <c r="C69" s="39">
        <v>0</v>
      </c>
      <c r="D69" s="39">
        <v>0</v>
      </c>
      <c r="E69" s="39">
        <v>0</v>
      </c>
      <c r="F69" s="39">
        <v>0</v>
      </c>
      <c r="G69" s="39">
        <v>0</v>
      </c>
      <c r="H69" s="39">
        <v>1</v>
      </c>
      <c r="I69" s="39">
        <v>7</v>
      </c>
      <c r="J69" s="39">
        <v>13</v>
      </c>
      <c r="K69" s="39">
        <v>15</v>
      </c>
      <c r="L69" s="40">
        <v>36</v>
      </c>
    </row>
    <row r="70" spans="1:12" ht="15.95" customHeight="1" x14ac:dyDescent="0.3">
      <c r="A70" s="36" t="s">
        <v>202</v>
      </c>
      <c r="B70" s="39">
        <v>0</v>
      </c>
      <c r="C70" s="39">
        <v>0</v>
      </c>
      <c r="D70" s="39">
        <v>0</v>
      </c>
      <c r="E70" s="39">
        <v>7</v>
      </c>
      <c r="F70" s="39">
        <v>9</v>
      </c>
      <c r="G70" s="39">
        <v>20</v>
      </c>
      <c r="H70" s="39">
        <v>32</v>
      </c>
      <c r="I70" s="39">
        <v>49</v>
      </c>
      <c r="J70" s="39">
        <v>289</v>
      </c>
      <c r="K70" s="39">
        <v>172</v>
      </c>
      <c r="L70" s="40">
        <v>578</v>
      </c>
    </row>
    <row r="71" spans="1:12" ht="15.95" customHeight="1" x14ac:dyDescent="0.3">
      <c r="A71" s="36" t="s">
        <v>205</v>
      </c>
      <c r="B71" s="39">
        <v>0</v>
      </c>
      <c r="C71" s="39">
        <v>0</v>
      </c>
      <c r="D71" s="39">
        <v>3</v>
      </c>
      <c r="E71" s="39">
        <v>9</v>
      </c>
      <c r="F71" s="39">
        <v>20</v>
      </c>
      <c r="G71" s="39">
        <v>43</v>
      </c>
      <c r="H71" s="39">
        <v>65</v>
      </c>
      <c r="I71" s="39">
        <v>54</v>
      </c>
      <c r="J71" s="39">
        <v>59</v>
      </c>
      <c r="K71" s="39">
        <v>38</v>
      </c>
      <c r="L71" s="40">
        <v>291</v>
      </c>
    </row>
    <row r="72" spans="1:12" ht="15.95" customHeight="1" x14ac:dyDescent="0.3">
      <c r="A72" s="36" t="s">
        <v>208</v>
      </c>
      <c r="B72" s="39">
        <v>0</v>
      </c>
      <c r="C72" s="39">
        <v>0</v>
      </c>
      <c r="D72" s="39">
        <v>0</v>
      </c>
      <c r="E72" s="39">
        <v>0</v>
      </c>
      <c r="F72" s="39">
        <v>1</v>
      </c>
      <c r="G72" s="39">
        <v>1</v>
      </c>
      <c r="H72" s="39">
        <v>1</v>
      </c>
      <c r="I72" s="39">
        <v>12</v>
      </c>
      <c r="J72" s="39">
        <v>125</v>
      </c>
      <c r="K72" s="39">
        <v>230</v>
      </c>
      <c r="L72" s="40">
        <v>370</v>
      </c>
    </row>
    <row r="73" spans="1:12" ht="15.95" customHeight="1" x14ac:dyDescent="0.3">
      <c r="A73" s="36" t="s">
        <v>211</v>
      </c>
      <c r="B73" s="39">
        <v>0</v>
      </c>
      <c r="C73" s="39">
        <v>0</v>
      </c>
      <c r="D73" s="39">
        <v>0</v>
      </c>
      <c r="E73" s="39">
        <v>0</v>
      </c>
      <c r="F73" s="39">
        <v>0</v>
      </c>
      <c r="G73" s="39">
        <v>1</v>
      </c>
      <c r="H73" s="39">
        <v>2</v>
      </c>
      <c r="I73" s="39">
        <v>5</v>
      </c>
      <c r="J73" s="39">
        <v>34</v>
      </c>
      <c r="K73" s="39">
        <v>164</v>
      </c>
      <c r="L73" s="40">
        <v>206</v>
      </c>
    </row>
    <row r="74" spans="1:12" ht="15.95" customHeight="1" x14ac:dyDescent="0.3">
      <c r="A74" s="36" t="s">
        <v>214</v>
      </c>
      <c r="B74" s="39">
        <v>0</v>
      </c>
      <c r="C74" s="39">
        <v>0</v>
      </c>
      <c r="D74" s="39">
        <v>4</v>
      </c>
      <c r="E74" s="39">
        <v>2</v>
      </c>
      <c r="F74" s="39">
        <v>5</v>
      </c>
      <c r="G74" s="39">
        <v>24</v>
      </c>
      <c r="H74" s="39">
        <v>56</v>
      </c>
      <c r="I74" s="39">
        <v>78</v>
      </c>
      <c r="J74" s="39">
        <v>134</v>
      </c>
      <c r="K74" s="39">
        <v>30</v>
      </c>
      <c r="L74" s="40">
        <v>333</v>
      </c>
    </row>
    <row r="75" spans="1:12" ht="15.95" customHeight="1" x14ac:dyDescent="0.3">
      <c r="A75" s="36" t="s">
        <v>217</v>
      </c>
      <c r="B75" s="39">
        <v>0</v>
      </c>
      <c r="C75" s="39">
        <v>0</v>
      </c>
      <c r="D75" s="39">
        <v>0</v>
      </c>
      <c r="E75" s="39">
        <v>0</v>
      </c>
      <c r="F75" s="39">
        <v>0</v>
      </c>
      <c r="G75" s="39">
        <v>4</v>
      </c>
      <c r="H75" s="39">
        <v>2</v>
      </c>
      <c r="I75" s="39">
        <v>5</v>
      </c>
      <c r="J75" s="39">
        <v>17</v>
      </c>
      <c r="K75" s="39">
        <v>10</v>
      </c>
      <c r="L75" s="40">
        <v>38</v>
      </c>
    </row>
    <row r="76" spans="1:12" ht="15.95" customHeight="1" x14ac:dyDescent="0.3">
      <c r="A76" s="36" t="s">
        <v>219</v>
      </c>
      <c r="B76" s="39">
        <v>0</v>
      </c>
      <c r="C76" s="39">
        <v>0</v>
      </c>
      <c r="D76" s="39">
        <v>0</v>
      </c>
      <c r="E76" s="39">
        <v>0</v>
      </c>
      <c r="F76" s="39">
        <v>0</v>
      </c>
      <c r="G76" s="39">
        <v>0</v>
      </c>
      <c r="H76" s="39">
        <v>0</v>
      </c>
      <c r="I76" s="39">
        <v>2</v>
      </c>
      <c r="J76" s="39">
        <v>5</v>
      </c>
      <c r="K76" s="39">
        <v>29</v>
      </c>
      <c r="L76" s="40">
        <v>36</v>
      </c>
    </row>
    <row r="77" spans="1:12" ht="15.95" customHeight="1" x14ac:dyDescent="0.3">
      <c r="A77" s="36" t="s">
        <v>222</v>
      </c>
      <c r="B77" s="39">
        <v>0</v>
      </c>
      <c r="C77" s="39">
        <v>0</v>
      </c>
      <c r="D77" s="39">
        <v>0</v>
      </c>
      <c r="E77" s="39">
        <v>0</v>
      </c>
      <c r="F77" s="39">
        <v>1</v>
      </c>
      <c r="G77" s="39">
        <v>0</v>
      </c>
      <c r="H77" s="39">
        <v>2</v>
      </c>
      <c r="I77" s="39">
        <v>7</v>
      </c>
      <c r="J77" s="39">
        <v>30</v>
      </c>
      <c r="K77" s="39">
        <v>12</v>
      </c>
      <c r="L77" s="40">
        <v>52</v>
      </c>
    </row>
    <row r="78" spans="1:12" ht="15.95" customHeight="1" x14ac:dyDescent="0.3">
      <c r="A78" s="36" t="s">
        <v>224</v>
      </c>
      <c r="B78" s="39">
        <v>0</v>
      </c>
      <c r="C78" s="39">
        <v>0</v>
      </c>
      <c r="D78" s="39">
        <v>0</v>
      </c>
      <c r="E78" s="39">
        <v>0</v>
      </c>
      <c r="F78" s="39">
        <v>0</v>
      </c>
      <c r="G78" s="39">
        <v>2</v>
      </c>
      <c r="H78" s="39">
        <v>3</v>
      </c>
      <c r="I78" s="39">
        <v>11</v>
      </c>
      <c r="J78" s="39">
        <v>30</v>
      </c>
      <c r="K78" s="39">
        <v>109</v>
      </c>
      <c r="L78" s="40">
        <v>155</v>
      </c>
    </row>
    <row r="79" spans="1:12" ht="15.95" customHeight="1" x14ac:dyDescent="0.3">
      <c r="A79" s="36" t="s">
        <v>226</v>
      </c>
      <c r="B79" s="39">
        <v>0</v>
      </c>
      <c r="C79" s="39">
        <v>0</v>
      </c>
      <c r="D79" s="39">
        <v>0</v>
      </c>
      <c r="E79" s="39">
        <v>0</v>
      </c>
      <c r="F79" s="39">
        <v>0</v>
      </c>
      <c r="G79" s="39">
        <v>4</v>
      </c>
      <c r="H79" s="39">
        <v>0</v>
      </c>
      <c r="I79" s="39">
        <v>1</v>
      </c>
      <c r="J79" s="39">
        <v>31</v>
      </c>
      <c r="K79" s="39">
        <v>135</v>
      </c>
      <c r="L79" s="40">
        <v>171</v>
      </c>
    </row>
    <row r="80" spans="1:12" ht="15.95" customHeight="1" x14ac:dyDescent="0.3">
      <c r="A80" s="36" t="s">
        <v>228</v>
      </c>
      <c r="B80" s="39">
        <v>0</v>
      </c>
      <c r="C80" s="39">
        <v>0</v>
      </c>
      <c r="D80" s="39">
        <v>0</v>
      </c>
      <c r="E80" s="39">
        <v>0</v>
      </c>
      <c r="F80" s="39">
        <v>2</v>
      </c>
      <c r="G80" s="39">
        <v>7</v>
      </c>
      <c r="H80" s="39">
        <v>14</v>
      </c>
      <c r="I80" s="39">
        <v>36</v>
      </c>
      <c r="J80" s="39">
        <v>49</v>
      </c>
      <c r="K80" s="39">
        <v>5</v>
      </c>
      <c r="L80" s="40">
        <v>113</v>
      </c>
    </row>
    <row r="81" spans="1:12" ht="15.95" customHeight="1" x14ac:dyDescent="0.3">
      <c r="A81" s="36" t="s">
        <v>230</v>
      </c>
      <c r="B81" s="39">
        <v>0</v>
      </c>
      <c r="C81" s="39">
        <v>0</v>
      </c>
      <c r="D81" s="39">
        <v>0</v>
      </c>
      <c r="E81" s="39">
        <v>0</v>
      </c>
      <c r="F81" s="39">
        <v>0</v>
      </c>
      <c r="G81" s="39">
        <v>2</v>
      </c>
      <c r="H81" s="39">
        <v>1</v>
      </c>
      <c r="I81" s="39">
        <v>2</v>
      </c>
      <c r="J81" s="39">
        <v>1</v>
      </c>
      <c r="K81" s="39">
        <v>2</v>
      </c>
      <c r="L81" s="40">
        <v>8</v>
      </c>
    </row>
    <row r="82" spans="1:12" ht="15.95" customHeight="1" thickBot="1" x14ac:dyDescent="0.35">
      <c r="A82" s="36" t="s">
        <v>233</v>
      </c>
      <c r="B82" s="39">
        <v>0</v>
      </c>
      <c r="C82" s="39">
        <v>0</v>
      </c>
      <c r="D82" s="39">
        <v>0</v>
      </c>
      <c r="E82" s="39">
        <v>3</v>
      </c>
      <c r="F82" s="39">
        <v>3</v>
      </c>
      <c r="G82" s="39">
        <v>8</v>
      </c>
      <c r="H82" s="39">
        <v>11</v>
      </c>
      <c r="I82" s="39">
        <v>36</v>
      </c>
      <c r="J82" s="39">
        <v>93</v>
      </c>
      <c r="K82" s="39">
        <v>94</v>
      </c>
      <c r="L82" s="40">
        <v>248</v>
      </c>
    </row>
    <row r="83" spans="1:12" ht="20.100000000000001" customHeight="1" thickBot="1" x14ac:dyDescent="0.35">
      <c r="A83" s="33" t="s">
        <v>20</v>
      </c>
      <c r="B83" s="34">
        <f t="shared" ref="B83:L83" si="0">SUM(B3:B82)</f>
        <v>10</v>
      </c>
      <c r="C83" s="34">
        <f t="shared" si="0"/>
        <v>10</v>
      </c>
      <c r="D83" s="34">
        <f t="shared" si="0"/>
        <v>30</v>
      </c>
      <c r="E83" s="34">
        <f t="shared" si="0"/>
        <v>50</v>
      </c>
      <c r="F83" s="34">
        <f t="shared" si="0"/>
        <v>100</v>
      </c>
      <c r="G83" s="34">
        <f t="shared" si="0"/>
        <v>300</v>
      </c>
      <c r="H83" s="34">
        <f t="shared" si="0"/>
        <v>500</v>
      </c>
      <c r="I83" s="34">
        <f t="shared" si="0"/>
        <v>1000</v>
      </c>
      <c r="J83" s="34">
        <f t="shared" si="0"/>
        <v>3000</v>
      </c>
      <c r="K83" s="34">
        <f t="shared" si="0"/>
        <v>4706</v>
      </c>
      <c r="L83" s="34">
        <f t="shared" si="0"/>
        <v>9706</v>
      </c>
    </row>
  </sheetData>
  <mergeCells count="1">
    <mergeCell ref="A1:L1"/>
  </mergeCells>
  <conditionalFormatting sqref="A3:L82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Mark_Ranges</vt:lpstr>
      <vt:lpstr>Sub_Avgs</vt:lpstr>
      <vt:lpstr>Rank_Ranges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2025-06-24T12:33:01Z</dcterms:modified>
</cp:coreProperties>
</file>